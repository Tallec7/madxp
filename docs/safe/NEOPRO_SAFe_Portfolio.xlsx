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Glossaire" sheetId="2" state="visible" r:id="rId2"/>
    <sheet xmlns:r="http://schemas.openxmlformats.org/officeDocument/2006/relationships" name="Vision &amp; OKR" sheetId="3" state="visible" r:id="rId3"/>
    <sheet xmlns:r="http://schemas.openxmlformats.org/officeDocument/2006/relationships" name="Value Streams" sheetId="4" state="visible" r:id="rId4"/>
    <sheet xmlns:r="http://schemas.openxmlformats.org/officeDocument/2006/relationships" name="Epics &amp; LBC" sheetId="5" state="visible" r:id="rId5"/>
    <sheet xmlns:r="http://schemas.openxmlformats.org/officeDocument/2006/relationships" name="Features &amp; US" sheetId="6" state="visible" r:id="rId6"/>
    <sheet xmlns:r="http://schemas.openxmlformats.org/officeDocument/2006/relationships" name="PI Objectives" sheetId="7" state="visible" r:id="rId7"/>
    <sheet xmlns:r="http://schemas.openxmlformats.org/officeDocument/2006/relationships" name="Sprint Tracker" sheetId="8" state="visible" r:id="rId8"/>
    <sheet xmlns:r="http://schemas.openxmlformats.org/officeDocument/2006/relationships" name="ROAM" sheetId="9" state="visible" r:id="rId9"/>
    <sheet xmlns:r="http://schemas.openxmlformats.org/officeDocument/2006/relationships" name="Flow Metrics" sheetId="10" state="visible" r:id="rId10"/>
    <sheet xmlns:r="http://schemas.openxmlformats.org/officeDocument/2006/relationships" name="Implemented Backlog" sheetId="11" state="visible" r:id="rId11"/>
    <sheet xmlns:r="http://schemas.openxmlformats.org/officeDocument/2006/relationships" name="User Stories" sheetId="12" state="visible" r:id="rId12"/>
    <sheet xmlns:r="http://schemas.openxmlformats.org/officeDocument/2006/relationships" name="_ChartData" sheetId="13" state="visible" r:id="rId13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color rgb="001565C0"/>
      <u val="single"/>
    </font>
  </fonts>
  <fills count="8">
    <fill>
      <patternFill/>
    </fill>
    <fill>
      <patternFill patternType="gray125"/>
    </fill>
    <fill>
      <patternFill patternType="solid">
        <fgColor rgb="00BBDEFB"/>
        <bgColor rgb="00BBDEFB"/>
      </patternFill>
    </fill>
    <fill>
      <patternFill patternType="solid">
        <fgColor rgb="00FFCDD2"/>
        <bgColor rgb="00FFCDD2"/>
      </patternFill>
    </fill>
    <fill>
      <patternFill patternType="solid">
        <fgColor rgb="00C8E6C9"/>
        <bgColor rgb="00C8E6C9"/>
      </patternFill>
    </fill>
    <fill>
      <patternFill patternType="solid">
        <fgColor rgb="00FFE0B2"/>
        <bgColor rgb="00FFE0B2"/>
      </patternFill>
    </fill>
    <fill>
      <patternFill patternType="solid">
        <fgColor rgb="00E1BEE7"/>
        <bgColor rgb="00E1BEE7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3" fillId="0" borderId="0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  <col width="50" customWidth="1" min="4" max="4"/>
    <col width="22" customWidth="1" min="5" max="5"/>
    <col width="50" customWidth="1" min="6" max="6"/>
    <col width="50" customWidth="1" min="7" max="7"/>
    <col width="45" customWidth="1" min="8" max="8"/>
  </cols>
  <sheetData>
    <row r="1">
      <c r="A1" s="1" t="inlineStr">
        <is>
          <t>NEOPRO SAFe Portfolio Dashboard</t>
        </is>
      </c>
    </row>
    <row r="2"/>
    <row r="3">
      <c r="A3" s="2" t="inlineStr">
        <is>
          <t>PORTFOLIO OVERVIEW</t>
        </is>
      </c>
    </row>
    <row r="4">
      <c r="A4" t="inlineStr">
        <is>
          <t>Epics</t>
        </is>
      </c>
      <c r="B4">
        <f>COUNTA('Epics &amp; LBC'!A4:A24)-COUNTBLANK('Epics &amp; LBC'!A4:A24)</f>
        <v/>
      </c>
      <c r="C4" t="inlineStr">
        <is>
          <t>Features</t>
        </is>
      </c>
      <c r="D4">
        <f>COUNTA('Features &amp; US'!B5:B41)-COUNTBLANK('Features &amp; US'!B5:B41)</f>
        <v/>
      </c>
      <c r="E4" t="inlineStr">
        <is>
          <t>User Stories</t>
        </is>
      </c>
      <c r="F4">
        <f>SUM('Features &amp; US'!D5:D41)</f>
        <v/>
      </c>
      <c r="G4" t="inlineStr">
        <is>
          <t>Total SP</t>
        </is>
      </c>
      <c r="H4">
        <f>SUM('Features &amp; US'!E5:E41)</f>
        <v/>
      </c>
    </row>
    <row r="5">
      <c r="A5" t="inlineStr">
        <is>
          <t>SP PI-1</t>
        </is>
      </c>
      <c r="B5">
        <f>SUMIF('Features &amp; US'!I:I,"PI-1*",'Features &amp; US'!E:E)</f>
        <v/>
      </c>
      <c r="C5" t="inlineStr">
        <is>
          <t>SP PI-2</t>
        </is>
      </c>
      <c r="D5">
        <f>SUMIF('Features &amp; US'!I:I,"PI-2*",'Features &amp; US'!E:E)</f>
        <v/>
      </c>
      <c r="E5" t="inlineStr">
        <is>
          <t>SP PI-3</t>
        </is>
      </c>
      <c r="F5">
        <f>SUMIF('Features &amp; US'!I:I,"PI-3*",'Features &amp; US'!E:E)</f>
        <v/>
      </c>
      <c r="G5" t="inlineStr">
        <is>
          <t>ARR (K€)</t>
        </is>
      </c>
      <c r="H5" t="n">
        <v>350</v>
      </c>
    </row>
    <row r="6"/>
    <row r="7">
      <c r="A7" s="2" t="inlineStr">
        <is>
          <t>EPICS STATUS</t>
        </is>
      </c>
      <c r="C7" s="2" t="inlineStr">
        <is>
          <t>FEATURES STATUS</t>
        </is>
      </c>
      <c r="E7" s="2" t="inlineStr">
        <is>
          <t>RISKS (ROAM)</t>
        </is>
      </c>
      <c r="G7" s="2" t="inlineStr">
        <is>
          <t>FLOW DISTRIBUTION</t>
        </is>
      </c>
    </row>
    <row r="8">
      <c r="A8" t="inlineStr">
        <is>
          <t>En cours</t>
        </is>
      </c>
      <c r="B8">
        <f>COUNTIF('Epics &amp; LBC'!G:G,"En cours")</f>
        <v/>
      </c>
      <c r="C8" t="inlineStr">
        <is>
          <t>Terminé</t>
        </is>
      </c>
      <c r="D8">
        <f>COUNTIF('Features &amp; US'!G5:G41,"Terminé")</f>
        <v/>
      </c>
      <c r="E8" t="inlineStr">
        <is>
          <t>Open</t>
        </is>
      </c>
      <c r="F8">
        <f>COUNTIF(ROAM!C:C,"Owned")+COUNTIF(ROAM!C:C,"Accepted")</f>
        <v/>
      </c>
      <c r="G8" t="inlineStr">
        <is>
          <t>Monétisation</t>
        </is>
      </c>
      <c r="H8" t="n">
        <v>0.4</v>
      </c>
    </row>
    <row r="9">
      <c r="A9" t="inlineStr">
        <is>
          <t>Terminé</t>
        </is>
      </c>
      <c r="B9">
        <f>COUNTIF('Epics &amp; LBC'!G:G,"Terminé")</f>
        <v/>
      </c>
      <c r="C9" t="inlineStr">
        <is>
          <t>Backlog</t>
        </is>
      </c>
      <c r="D9">
        <f>COUNTIF('Features &amp; US'!G5:G41,"Backlog")</f>
        <v/>
      </c>
      <c r="E9" t="inlineStr">
        <is>
          <t>Resolved</t>
        </is>
      </c>
      <c r="F9">
        <f>COUNTIF(ROAM!C:C,"Resolved")+COUNTIF(ROAM!C:C,"Mitigated")</f>
        <v/>
      </c>
      <c r="G9" t="inlineStr">
        <is>
          <t>Exp. Match</t>
        </is>
      </c>
      <c r="H9" t="n">
        <v>0.25</v>
      </c>
    </row>
    <row r="10">
      <c r="A10" t="inlineStr">
        <is>
          <t>Backlog</t>
        </is>
      </c>
      <c r="B10">
        <f>COUNTIF('Epics &amp; LBC'!G:G,"Backlog")</f>
        <v/>
      </c>
      <c r="C10" t="inlineStr">
        <is>
          <t>En cours</t>
        </is>
      </c>
      <c r="D10">
        <f>COUNTIF('Features &amp; US'!G5:G41,"En cours")</f>
        <v/>
      </c>
      <c r="E10" t="inlineStr">
        <is>
          <t>Owned</t>
        </is>
      </c>
      <c r="F10">
        <f>COUNTIF(ROAM!C:C,"Owned")</f>
        <v/>
      </c>
      <c r="G10" t="inlineStr">
        <is>
          <t>Acquisition</t>
        </is>
      </c>
      <c r="H10" t="n">
        <v>0.2</v>
      </c>
    </row>
    <row r="11">
      <c r="A11" t="inlineStr">
        <is>
          <t>Total</t>
        </is>
      </c>
      <c r="B11">
        <f>B8+B9+B10</f>
        <v/>
      </c>
      <c r="C11" t="inlineStr">
        <is>
          <t>Total</t>
        </is>
      </c>
      <c r="D11">
        <f>D8+D9+D10</f>
        <v/>
      </c>
      <c r="E11" t="inlineStr">
        <is>
          <t>Excellence Ops</t>
        </is>
      </c>
      <c r="G11" t="inlineStr">
        <is>
          <t>Excellence Ops</t>
        </is>
      </c>
      <c r="H11" t="n">
        <v>0.15</v>
      </c>
    </row>
    <row r="12"/>
    <row r="13">
      <c r="A13" s="2" t="inlineStr">
        <is>
          <t>ROADMAP SUMMARY</t>
        </is>
      </c>
    </row>
    <row r="14">
      <c r="A14" s="3" t="inlineStr">
        <is>
          <t>PI</t>
        </is>
      </c>
      <c r="B14" s="3" t="inlineStr">
        <is>
          <t>Période</t>
        </is>
      </c>
      <c r="C14" s="3" t="inlineStr">
        <is>
          <t>Initiatives clés</t>
        </is>
      </c>
      <c r="D14" s="3" t="inlineStr"/>
      <c r="E14" s="3" t="inlineStr"/>
      <c r="F14" s="3" t="inlineStr"/>
      <c r="G14" s="3" t="inlineStr">
        <is>
          <t>Planned SP</t>
        </is>
      </c>
      <c r="H14" s="3" t="inlineStr">
        <is>
          <t>Status</t>
        </is>
      </c>
    </row>
    <row r="15">
      <c r="A15" s="4" t="inlineStr">
        <is>
          <t>PI-1</t>
        </is>
      </c>
      <c r="B15" s="4" t="inlineStr">
        <is>
          <t>Fév-Mar</t>
        </is>
      </c>
      <c r="C15" s="4" t="inlineStr">
        <is>
          <t>Sponsors + Analytics + Onboarding + Résilience WiFi</t>
        </is>
      </c>
      <c r="D15" s="4" t="inlineStr"/>
      <c r="E15" s="4" t="inlineStr"/>
      <c r="F15" s="4" t="inlineStr"/>
      <c r="G15" s="4">
        <f>SUMIF('Features &amp; US'!I:I,"PI-1*",'Features &amp; US'!E:E)</f>
        <v/>
      </c>
      <c r="H15" s="4" t="inlineStr">
        <is>
          <t>🟢 Active</t>
        </is>
      </c>
    </row>
    <row r="16">
      <c r="A16" s="4" t="inlineStr">
        <is>
          <t>PI-2</t>
        </is>
      </c>
      <c r="B16" s="4" t="inlineStr">
        <is>
          <t>Avr-Mai</t>
        </is>
      </c>
      <c r="C16" s="4" t="inlineStr">
        <is>
          <t>Régie + Motion + Email + Score API Fédérations</t>
        </is>
      </c>
      <c r="D16" s="4" t="inlineStr"/>
      <c r="E16" s="4" t="inlineStr"/>
      <c r="F16" s="4" t="inlineStr"/>
      <c r="G16" s="4">
        <f>SUMIF('Features &amp; US'!I:I,"PI-2*",'Features &amp; US'!E:E)</f>
        <v/>
      </c>
      <c r="H16" s="4" t="inlineStr">
        <is>
          <t>🟡 Planned</t>
        </is>
      </c>
    </row>
    <row r="17">
      <c r="A17" s="4" t="inlineStr">
        <is>
          <t>PI-3</t>
        </is>
      </c>
      <c r="B17" s="4" t="inlineStr">
        <is>
          <t>Jun-Jul</t>
        </is>
      </c>
      <c r="C17" s="4" t="inlineStr">
        <is>
          <t>Multi-écrans + Marque blanche + Billetterie + ML + OAuth</t>
        </is>
      </c>
      <c r="D17" s="4" t="inlineStr"/>
      <c r="E17" s="4" t="inlineStr"/>
      <c r="F17" s="4" t="inlineStr"/>
      <c r="G17" s="4">
        <f>SUMIF('Features &amp; US'!I:I,"PI-3*",'Features &amp; US'!E:E)</f>
        <v/>
      </c>
      <c r="H17" s="4" t="inlineStr">
        <is>
          <t>⚪ Backlog</t>
        </is>
      </c>
    </row>
    <row r="18"/>
    <row r="19">
      <c r="A19" s="2" t="inlineStr">
        <is>
          <t>SPRINT VELOCITY (PI-1)</t>
        </is>
      </c>
    </row>
    <row r="20">
      <c r="A20" s="4" t="inlineStr">
        <is>
          <t>Sprint</t>
        </is>
      </c>
      <c r="B20" s="4" t="inlineStr">
        <is>
          <t>S1</t>
        </is>
      </c>
      <c r="C20" s="4" t="inlineStr">
        <is>
          <t>S2</t>
        </is>
      </c>
      <c r="D20" s="4" t="inlineStr">
        <is>
          <t>S3</t>
        </is>
      </c>
      <c r="E20" s="4" t="inlineStr">
        <is>
          <t>S4</t>
        </is>
      </c>
      <c r="F20" s="4" t="inlineStr">
        <is>
          <t>S5</t>
        </is>
      </c>
      <c r="G20" s="4" t="inlineStr">
        <is>
          <t>S6</t>
        </is>
      </c>
      <c r="H20" s="4" t="inlineStr">
        <is>
          <t>Avg</t>
        </is>
      </c>
    </row>
    <row r="21">
      <c r="A21" s="4" t="inlineStr">
        <is>
          <t>Actual SP</t>
        </is>
      </c>
      <c r="B21" s="4">
        <f>'Sprint Tracker'!D6</f>
        <v/>
      </c>
      <c r="C21" s="4">
        <f>'Sprint Tracker'!D7</f>
        <v/>
      </c>
      <c r="D21" s="4">
        <f>'Sprint Tracker'!D8</f>
        <v/>
      </c>
      <c r="E21" s="4">
        <f>'Sprint Tracker'!D9</f>
        <v/>
      </c>
      <c r="F21" s="4">
        <f>IF('Sprint Tracker'!D10="","-",'Sprint Tracker'!D10)</f>
        <v/>
      </c>
      <c r="G21" s="4">
        <f>IF('Sprint Tracker'!D11="","-",'Sprint Tracker'!D11)</f>
        <v/>
      </c>
      <c r="H21" s="4">
        <f>IFERROR(AVERAGE('Sprint Tracker'!D6:D9),0)</f>
        <v/>
      </c>
    </row>
    <row r="22"/>
    <row r="23">
      <c r="A23" s="2" t="inlineStr">
        <is>
          <t>NAVIGATION</t>
        </is>
      </c>
    </row>
    <row r="24">
      <c r="A24" s="4" t="inlineStr">
        <is>
          <t>Vision &amp; OKR</t>
        </is>
      </c>
      <c r="B24" s="4" t="inlineStr">
        <is>
          <t>Value Streams</t>
        </is>
      </c>
      <c r="C24" s="4" t="inlineStr">
        <is>
          <t>Epics &amp; LBC</t>
        </is>
      </c>
      <c r="D24" s="4" t="inlineStr">
        <is>
          <t>Features &amp; US</t>
        </is>
      </c>
      <c r="E24" s="4" t="inlineStr">
        <is>
          <t>PI Objectives</t>
        </is>
      </c>
      <c r="F24" s="4" t="inlineStr">
        <is>
          <t>Sprint Tracker</t>
        </is>
      </c>
      <c r="G24" s="4" t="inlineStr">
        <is>
          <t>ROAM</t>
        </is>
      </c>
      <c r="H24" s="4" t="inlineStr">
        <is>
          <t>Flow Metrics</t>
        </is>
      </c>
    </row>
    <row r="25">
      <c r="A25" s="4" t="inlineStr">
        <is>
          <t>Glossaire</t>
        </is>
      </c>
      <c r="B25" s="4" t="inlineStr">
        <is>
          <t>Impl. Backlog</t>
        </is>
      </c>
    </row>
    <row r="26"/>
    <row r="27">
      <c r="A27" s="2" t="inlineStr">
        <is>
          <t>CHARTS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Glossaire SAFe pour Gabin</t>
        </is>
      </c>
    </row>
    <row r="2">
      <c r="A2" s="5" t="inlineStr">
        <is>
          <t>Terme</t>
        </is>
      </c>
      <c r="B2" s="5" t="inlineStr">
        <is>
          <t>Définition</t>
        </is>
      </c>
    </row>
    <row r="3">
      <c r="A3" s="4" t="inlineStr">
        <is>
          <t>Epic</t>
        </is>
      </c>
      <c r="B3" s="6" t="inlineStr">
        <is>
          <t>Grande initiative couvrant plusieurs Features, liée à une stratégie business</t>
        </is>
      </c>
    </row>
    <row r="4">
      <c r="A4" s="4" t="inlineStr">
        <is>
          <t>Feature</t>
        </is>
      </c>
      <c r="B4" s="6" t="inlineStr">
        <is>
          <t>Bloc fonctionnel apportant valeur, découpé en User Stories</t>
        </is>
      </c>
    </row>
    <row r="5">
      <c r="A5" s="4" t="inlineStr">
        <is>
          <t>User Story</t>
        </is>
      </c>
      <c r="B5" s="6" t="inlineStr">
        <is>
          <t>Récit utilisateur livrable en 1-2 sprints (taille ~5 SP)</t>
        </is>
      </c>
    </row>
    <row r="6">
      <c r="A6" s="4" t="inlineStr">
        <is>
          <t>Story Point (SP)</t>
        </is>
      </c>
      <c r="B6" s="6" t="inlineStr">
        <is>
          <t>Unité de complexité relative (Fibonacci: 1,2,3,5,8...)</t>
        </is>
      </c>
    </row>
    <row r="7">
      <c r="A7" s="4" t="inlineStr">
        <is>
          <t>Sprint</t>
        </is>
      </c>
      <c r="B7" s="6" t="inlineStr">
        <is>
          <t>Itération 2 semaines de travail continu</t>
        </is>
      </c>
    </row>
    <row r="8">
      <c r="A8" s="4" t="inlineStr">
        <is>
          <t>PI (Program Increment)</t>
        </is>
      </c>
      <c r="B8" s="6" t="inlineStr">
        <is>
          <t>Trim de 3 mois = 6 sprints alignés</t>
        </is>
      </c>
    </row>
    <row r="9">
      <c r="A9" s="4" t="inlineStr">
        <is>
          <t>Value Stream</t>
        </is>
      </c>
      <c r="B9" s="6" t="inlineStr">
        <is>
          <t>Flux continu de création de valeur (OVS ou DVS)</t>
        </is>
      </c>
    </row>
    <row r="10">
      <c r="A10" s="4" t="inlineStr">
        <is>
          <t>WSJF (Weighted Shortest Job First)</t>
        </is>
      </c>
      <c r="B10" s="6" t="inlineStr">
        <is>
          <t>Priorisation: (User-Biz-Time-RR) / Job Size</t>
        </is>
      </c>
    </row>
    <row r="11">
      <c r="A11" s="4" t="inlineStr">
        <is>
          <t>MoSCoW</t>
        </is>
      </c>
      <c r="B11" s="6" t="inlineStr">
        <is>
          <t>Must (obligatoire), Should (important), Could (sympa), Won't (exclu)</t>
        </is>
      </c>
    </row>
    <row r="12">
      <c r="A12" s="4" t="inlineStr">
        <is>
          <t>Lean Business Case</t>
        </is>
      </c>
      <c r="B12" s="6" t="inlineStr">
        <is>
          <t>Justification business simplifiée (coût vs bénéfice)</t>
        </is>
      </c>
    </row>
    <row r="13">
      <c r="A13" s="4" t="inlineStr">
        <is>
          <t>Critères d'acceptation</t>
        </is>
      </c>
      <c r="B13" s="6" t="inlineStr">
        <is>
          <t>Conditions pour que la US soit "Done" (définition</t>
        </is>
      </c>
    </row>
    <row r="14">
      <c r="A14" s="4" t="inlineStr">
        <is>
          <t>Backlog</t>
        </is>
      </c>
      <c r="B14" s="6" t="inlineStr">
        <is>
          <t>Pile ordonnée de Features/US prêtes ou futures</t>
        </is>
      </c>
    </row>
    <row r="15">
      <c r="A15" s="4" t="inlineStr">
        <is>
          <t>Velocity</t>
        </is>
      </c>
      <c r="B15" s="6" t="inlineStr">
        <is>
          <t>SP livrés en moyenne par sprint (mesure de cadence)</t>
        </is>
      </c>
    </row>
    <row r="16">
      <c r="A16" s="4" t="inlineStr">
        <is>
          <t>Carry-over</t>
        </is>
      </c>
      <c r="B16" s="6" t="inlineStr">
        <is>
          <t>US commencée mais non finie avant fin de sprint</t>
        </is>
      </c>
    </row>
    <row r="17">
      <c r="A17" s="4" t="inlineStr">
        <is>
          <t>Business Value (BV)</t>
        </is>
      </c>
      <c r="B17" s="6" t="inlineStr">
        <is>
          <t>Score 1-10 indiquant impact client/revenu (PI Objective)</t>
        </is>
      </c>
    </row>
    <row r="18">
      <c r="A18" s="4" t="inlineStr">
        <is>
          <t>Predictability</t>
        </is>
      </c>
      <c r="B18" s="6" t="inlineStr">
        <is>
          <t>% d'objectives commis atteints dans le PI</t>
        </is>
      </c>
    </row>
    <row r="19">
      <c r="A19" s="4" t="inlineStr">
        <is>
          <t>ROAM</t>
        </is>
      </c>
      <c r="B19" s="6" t="inlineStr">
        <is>
          <t>Risk log: Resolved, Owned, Accepted, Mitigated</t>
        </is>
      </c>
    </row>
    <row r="20">
      <c r="A20" s="4" t="inlineStr">
        <is>
          <t>Flow Metrics</t>
        </is>
      </c>
      <c r="B20" s="6" t="inlineStr">
        <is>
          <t>WIP, Throughput, Cycle Time pour chaque Value Stream</t>
        </is>
      </c>
    </row>
    <row r="21">
      <c r="A21" s="4" t="inlineStr">
        <is>
          <t>WIP (Work In Progress)</t>
        </is>
      </c>
      <c r="B21" s="6" t="inlineStr">
        <is>
          <t>Limite de tâches simultanées pour fluider</t>
        </is>
      </c>
    </row>
    <row r="22">
      <c r="A22" s="4" t="inlineStr">
        <is>
          <t>CFD (Cumulative Flow Diagram)</t>
        </is>
      </c>
      <c r="B22" s="6" t="inlineStr">
        <is>
          <t>Graphe d'accumulation des status (backlog → done)</t>
        </is>
      </c>
    </row>
    <row r="23">
      <c r="A23" s="4" t="inlineStr">
        <is>
          <t>DVS (Dedicated Value Stream)</t>
        </is>
      </c>
      <c r="B23" s="6" t="inlineStr">
        <is>
          <t>VS interne Neopro (plateforme produit)</t>
        </is>
      </c>
    </row>
    <row r="24">
      <c r="A24" s="4" t="inlineStr">
        <is>
          <t>OVS (Outcome Value Stream)</t>
        </is>
      </c>
      <c r="B24" s="6" t="inlineStr">
        <is>
          <t>VS client (club à écran, sponsor à impression)</t>
        </is>
      </c>
    </row>
    <row r="25">
      <c r="A25" s="4" t="inlineStr">
        <is>
          <t>I&amp;A (Inspect &amp; Adapt)</t>
        </is>
      </c>
      <c r="B25" s="6" t="inlineStr">
        <is>
          <t>Rétrospective SAFe collective tous les PIs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21" customWidth="1" min="5" max="5"/>
    <col width="14" customWidth="1" min="6" max="6"/>
  </cols>
  <sheetData>
    <row r="1">
      <c r="A1" s="1" t="inlineStr">
        <is>
          <t>NEOPRO — Vision, Thèmes Stratégiques &amp; OKR 2026</t>
        </is>
      </c>
    </row>
    <row r="2"/>
    <row r="3">
      <c r="A3" s="2" t="inlineStr">
        <is>
          <t>Vision Produit</t>
        </is>
      </c>
    </row>
    <row r="4"/>
    <row r="5">
      <c r="A5" t="inlineStr">
        <is>
          <t>Devenir le partenaire de référence des clubs sportifs amateurs en France pour promouvoir leur identité, engager leurs communautés et monétiser leur audience via une solution TV interactive clé-en-main.</t>
        </is>
      </c>
    </row>
    <row r="6"/>
    <row r="7">
      <c r="A7" s="2" t="inlineStr">
        <is>
          <t>4 Thèmes Stratégiques</t>
        </is>
      </c>
    </row>
    <row r="8">
      <c r="A8" s="7" t="inlineStr">
        <is>
          <t>ID</t>
        </is>
      </c>
      <c r="B8" s="7" t="inlineStr">
        <is>
          <t>Thème</t>
        </is>
      </c>
      <c r="C8" s="7" t="inlineStr">
        <is>
          <t>Description</t>
        </is>
      </c>
      <c r="D8" s="7" t="inlineStr">
        <is>
          <t>OVS lié</t>
        </is>
      </c>
      <c r="E8" s="7" t="inlineStr">
        <is>
          <t>Horizon</t>
        </is>
      </c>
      <c r="F8" s="7" t="inlineStr">
        <is>
          <t>Poids budget</t>
        </is>
      </c>
    </row>
    <row r="9">
      <c r="A9" s="4" t="inlineStr">
        <is>
          <t>TS-1</t>
        </is>
      </c>
      <c r="B9" s="4" t="inlineStr">
        <is>
          <t>Monétisation Sponsors</t>
        </is>
      </c>
      <c r="C9" s="4" t="inlineStr">
        <is>
          <t>Maximiser les revenus sponsors par club via le ciblage local, les preuves de diffusion et le self-service</t>
        </is>
      </c>
      <c r="D9" s="4" t="inlineStr">
        <is>
          <t>OVS-2</t>
        </is>
      </c>
      <c r="E9" s="4" t="inlineStr">
        <is>
          <t>PI-1 → PI-3</t>
        </is>
      </c>
      <c r="F9" s="4" t="inlineStr">
        <is>
          <t>35%</t>
        </is>
      </c>
    </row>
    <row r="10">
      <c r="A10" s="4" t="inlineStr">
        <is>
          <t>TS-2</t>
        </is>
      </c>
      <c r="B10" s="4" t="inlineStr">
        <is>
          <t>Expérience Match Live</t>
        </is>
      </c>
      <c r="C10" s="4" t="inlineStr">
        <is>
          <t>Offrir la meilleure expérience match jour (overlay multi-sport, timer, recording)</t>
        </is>
      </c>
      <c r="D10" s="4" t="inlineStr">
        <is>
          <t>OVS-1</t>
        </is>
      </c>
      <c r="E10" s="4" t="inlineStr">
        <is>
          <t>PI-1 → PI-2</t>
        </is>
      </c>
      <c r="F10" s="4" t="inlineStr">
        <is>
          <t>25%</t>
        </is>
      </c>
    </row>
    <row r="11">
      <c r="A11" s="4" t="inlineStr">
        <is>
          <t>TS-3</t>
        </is>
      </c>
      <c r="B11" s="4" t="inlineStr">
        <is>
          <t>Acquisition &amp; Croissance</t>
        </is>
      </c>
      <c r="C11" s="4" t="inlineStr">
        <is>
          <t>Accélérer l'onboarding clubs (time-to-value &lt;1j), réduire le churn (&lt;5%/an), atteindre 100 clubs</t>
        </is>
      </c>
      <c r="D11" s="4" t="inlineStr">
        <is>
          <t>OVS-1 + OVS-2</t>
        </is>
      </c>
      <c r="E11" s="4" t="inlineStr">
        <is>
          <t>PI-2 → PI-3</t>
        </is>
      </c>
      <c r="F11" s="4" t="inlineStr">
        <is>
          <t>20%</t>
        </is>
      </c>
    </row>
    <row r="12">
      <c r="A12" s="4" t="inlineStr">
        <is>
          <t>TS-4</t>
        </is>
      </c>
      <c r="B12" s="4" t="inlineStr">
        <is>
          <t>Excellence Opérationnelle</t>
        </is>
      </c>
      <c r="C12" s="4" t="inlineStr">
        <is>
          <t>Garantir 99.5% uptime, &lt;2h MTTR, monitoring proactif, OTA fiable, réseau résilient</t>
        </is>
      </c>
      <c r="D12" s="4" t="inlineStr">
        <is>
          <t>DVS-1</t>
        </is>
      </c>
      <c r="E12" s="4" t="inlineStr">
        <is>
          <t>Continu</t>
        </is>
      </c>
      <c r="F12" s="4" t="inlineStr">
        <is>
          <t>20%</t>
        </is>
      </c>
    </row>
    <row r="13"/>
    <row r="14">
      <c r="A14" s="2" t="inlineStr">
        <is>
          <t>OKR 2026 — Objectifs &amp; Key Results</t>
        </is>
      </c>
    </row>
    <row r="15">
      <c r="A15" s="5" t="inlineStr">
        <is>
          <t>Obj #</t>
        </is>
      </c>
      <c r="B15" s="5" t="inlineStr">
        <is>
          <t>Objectif</t>
        </is>
      </c>
      <c r="C15" s="5" t="inlineStr">
        <is>
          <t>KR #</t>
        </is>
      </c>
      <c r="D15" s="5" t="inlineStr">
        <is>
          <t>Key Result</t>
        </is>
      </c>
      <c r="E15" s="5" t="inlineStr">
        <is>
          <t>Thème(s)</t>
        </is>
      </c>
      <c r="F15" s="5" t="inlineStr">
        <is>
          <t>Target</t>
        </is>
      </c>
    </row>
    <row r="16">
      <c r="A16" s="4" t="inlineStr">
        <is>
          <t>O1</t>
        </is>
      </c>
      <c r="B16" s="4" t="inlineStr">
        <is>
          <t>Faire de NEOPRO le partenaire de référence des clubs amateurs en Bretagne/Pays de Loire</t>
        </is>
      </c>
      <c r="C16" s="4" t="inlineStr">
        <is>
          <t>1.1</t>
        </is>
      </c>
      <c r="D16" s="4" t="inlineStr">
        <is>
          <t>3 clubs beta convertis en payants</t>
        </is>
      </c>
      <c r="E16" s="4" t="inlineStr">
        <is>
          <t>TS-3</t>
        </is>
      </c>
      <c r="F16" s="4" t="inlineStr">
        <is>
          <t>Q2 2026</t>
        </is>
      </c>
    </row>
    <row r="17">
      <c r="A17" s="4" t="inlineStr"/>
      <c r="B17" s="4" t="inlineStr"/>
      <c r="C17" s="4" t="inlineStr">
        <is>
          <t>1.2</t>
        </is>
      </c>
      <c r="D17" s="4" t="inlineStr">
        <is>
          <t>15 clubs payants actifs</t>
        </is>
      </c>
      <c r="E17" s="4" t="inlineStr">
        <is>
          <t>TS-3</t>
        </is>
      </c>
      <c r="F17" s="4" t="inlineStr">
        <is>
          <t>Déc 2026</t>
        </is>
      </c>
    </row>
    <row r="18">
      <c r="A18" s="4" t="inlineStr"/>
      <c r="B18" s="4" t="inlineStr"/>
      <c r="C18" s="4" t="inlineStr">
        <is>
          <t>1.3</t>
        </is>
      </c>
      <c r="D18" s="4" t="inlineStr">
        <is>
          <t>Taux de renouvellement &gt;85%</t>
        </is>
      </c>
      <c r="E18" s="4" t="inlineStr">
        <is>
          <t>TS-3</t>
        </is>
      </c>
      <c r="F18" s="4" t="inlineStr">
        <is>
          <t>Déc 2026</t>
        </is>
      </c>
    </row>
    <row r="19">
      <c r="A19" s="4" t="inlineStr"/>
      <c r="B19" s="4" t="inlineStr"/>
      <c r="C19" s="4" t="inlineStr">
        <is>
          <t>1.4</t>
        </is>
      </c>
      <c r="D19" s="4" t="inlineStr">
        <is>
          <t>NPS clubs ≥8/10</t>
        </is>
      </c>
      <c r="E19" s="4" t="inlineStr">
        <is>
          <t>TS-2, TS-3</t>
        </is>
      </c>
      <c r="F19" s="4" t="inlineStr">
        <is>
          <t>Q4 2026</t>
        </is>
      </c>
    </row>
    <row r="20">
      <c r="A20" s="4" t="inlineStr"/>
      <c r="B20" s="4" t="inlineStr"/>
      <c r="C20" s="4" t="inlineStr">
        <is>
          <t>1.5</t>
        </is>
      </c>
      <c r="D20" s="4" t="inlineStr">
        <is>
          <t>2 partenariats ligues régionales signés</t>
        </is>
      </c>
      <c r="E20" s="4" t="inlineStr">
        <is>
          <t>TS-3</t>
        </is>
      </c>
      <c r="F20" s="4" t="inlineStr">
        <is>
          <t>Q3 2026</t>
        </is>
      </c>
    </row>
    <row r="21">
      <c r="A21" s="4" t="inlineStr"/>
      <c r="B21" s="4" t="inlineStr"/>
      <c r="C21" s="4" t="inlineStr">
        <is>
          <t>1.6</t>
        </is>
      </c>
      <c r="D21" s="4" t="inlineStr">
        <is>
          <t>3 cas ROI sponsors documentés</t>
        </is>
      </c>
      <c r="E21" s="4" t="inlineStr">
        <is>
          <t>TS-1</t>
        </is>
      </c>
      <c r="F21" s="4" t="inlineStr">
        <is>
          <t>Q3 2026</t>
        </is>
      </c>
    </row>
    <row r="22">
      <c r="A22" s="4" t="inlineStr"/>
      <c r="B22" s="4" t="inlineStr"/>
      <c r="C22" s="4" t="inlineStr">
        <is>
          <t>1.7</t>
        </is>
      </c>
      <c r="D22" s="4" t="inlineStr">
        <is>
          <t>6 annonceurs régionaux actifs</t>
        </is>
      </c>
      <c r="E22" s="4" t="inlineStr">
        <is>
          <t>TS-1</t>
        </is>
      </c>
      <c r="F22" s="4" t="inlineStr">
        <is>
          <t>Q4 2026</t>
        </is>
      </c>
    </row>
    <row r="23">
      <c r="A23" s="4" t="inlineStr"/>
      <c r="B23" s="4" t="inlineStr"/>
      <c r="C23" s="4" t="inlineStr">
        <is>
          <t>1.8</t>
        </is>
      </c>
      <c r="D23" s="4" t="inlineStr">
        <is>
          <t>ARPU annonceur &gt;200€/mois</t>
        </is>
      </c>
      <c r="E23" s="4" t="inlineStr">
        <is>
          <t>TS-1</t>
        </is>
      </c>
      <c r="F23" s="4" t="inlineStr">
        <is>
          <t>Q4 2026</t>
        </is>
      </c>
    </row>
    <row r="24">
      <c r="A24" s="4" t="inlineStr">
        <is>
          <t>O2</t>
        </is>
      </c>
      <c r="B24" s="4" t="inlineStr">
        <is>
          <t>Créer une expérience match que les clubs ne peuvent plus quitter</t>
        </is>
      </c>
      <c r="C24" s="4" t="inlineStr">
        <is>
          <t>2.1</t>
        </is>
      </c>
      <c r="D24" s="4" t="inlineStr">
        <is>
          <t>Taux d'utilisation 100% des matchs à domicile</t>
        </is>
      </c>
      <c r="E24" s="4" t="inlineStr">
        <is>
          <t>TS-2</t>
        </is>
      </c>
      <c r="F24" s="4" t="inlineStr">
        <is>
          <t>Q4 2026</t>
        </is>
      </c>
    </row>
    <row r="25">
      <c r="A25" s="4" t="inlineStr"/>
      <c r="B25" s="4" t="inlineStr"/>
      <c r="C25" s="4" t="inlineStr">
        <is>
          <t>2.2</t>
        </is>
      </c>
      <c r="D25" s="4" t="inlineStr">
        <is>
          <t>Latence télécommande &lt;200ms local / &lt;2s cloud</t>
        </is>
      </c>
      <c r="E25" s="4" t="inlineStr">
        <is>
          <t>TS-2</t>
        </is>
      </c>
      <c r="F25" s="4" t="inlineStr">
        <is>
          <t>Q1 2026</t>
        </is>
      </c>
    </row>
    <row r="26">
      <c r="A26" s="4" t="inlineStr"/>
      <c r="B26" s="4" t="inlineStr"/>
      <c r="C26" s="4" t="inlineStr">
        <is>
          <t>2.3</t>
        </is>
      </c>
      <c r="D26" s="4" t="inlineStr">
        <is>
          <t>6 sports supportés en overlay</t>
        </is>
      </c>
      <c r="E26" s="4" t="inlineStr">
        <is>
          <t>TS-2</t>
        </is>
      </c>
      <c r="F26" s="4" t="inlineStr">
        <is>
          <t>✅ Done</t>
        </is>
      </c>
    </row>
    <row r="27">
      <c r="A27" s="4" t="inlineStr"/>
      <c r="B27" s="4" t="inlineStr"/>
      <c r="C27" s="4" t="inlineStr">
        <is>
          <t>2.4</t>
        </is>
      </c>
      <c r="D27" s="4" t="inlineStr">
        <is>
          <t>Score CSAT bénévole &gt;4.5/5</t>
        </is>
      </c>
      <c r="E27" s="4" t="inlineStr">
        <is>
          <t>TS-2</t>
        </is>
      </c>
      <c r="F27" s="4" t="inlineStr">
        <is>
          <t>Q3 2026</t>
        </is>
      </c>
    </row>
    <row r="28">
      <c r="A28" s="4" t="inlineStr"/>
      <c r="B28" s="4" t="inlineStr"/>
      <c r="C28" s="4" t="inlineStr">
        <is>
          <t>2.5</t>
        </is>
      </c>
      <c r="D28" s="4" t="inlineStr">
        <is>
          <t>Taux activation &gt;80% (1er match dans les 7 jours)</t>
        </is>
      </c>
      <c r="E28" s="4" t="inlineStr">
        <is>
          <t>TS-2, TS-3</t>
        </is>
      </c>
      <c r="F28" s="4" t="inlineStr">
        <is>
          <t>Continu</t>
        </is>
      </c>
    </row>
    <row r="29">
      <c r="A29" s="4" t="inlineStr"/>
      <c r="B29" s="4" t="inlineStr"/>
      <c r="C29" s="4" t="inlineStr">
        <is>
          <t>2.6</t>
        </is>
      </c>
      <c r="D29" s="4" t="inlineStr">
        <is>
          <t>0 incident bloquant pendant un match</t>
        </is>
      </c>
      <c r="E29" s="4" t="inlineStr">
        <is>
          <t>TS-2, TS-4</t>
        </is>
      </c>
      <c r="F29" s="4" t="inlineStr">
        <is>
          <t>Continu</t>
        </is>
      </c>
    </row>
    <row r="30">
      <c r="A30" s="4" t="inlineStr"/>
      <c r="B30" s="4" t="inlineStr"/>
      <c r="C30" s="4" t="inlineStr">
        <is>
          <t>2.7</t>
        </is>
      </c>
      <c r="D30" s="4" t="inlineStr">
        <is>
          <t>Temps d'installation &lt;4h par club</t>
        </is>
      </c>
      <c r="E30" s="4" t="inlineStr">
        <is>
          <t>TS-2, TS-4</t>
        </is>
      </c>
      <c r="F30" s="4" t="inlineStr">
        <is>
          <t>Q2 2026</t>
        </is>
      </c>
    </row>
    <row r="31">
      <c r="A31" s="4" t="inlineStr">
        <is>
          <t>O3</t>
        </is>
      </c>
      <c r="B31" s="4" t="inlineStr">
        <is>
          <t>Bâtir un réseau de clubs qui tire la croissance</t>
        </is>
      </c>
      <c r="C31" s="4" t="inlineStr">
        <is>
          <t>3.1</t>
        </is>
      </c>
      <c r="D31" s="4" t="inlineStr">
        <is>
          <t>30% des nouveaux clubs via referral</t>
        </is>
      </c>
      <c r="E31" s="4" t="inlineStr">
        <is>
          <t>TS-3</t>
        </is>
      </c>
      <c r="F31" s="4" t="inlineStr">
        <is>
          <t>Q4 2026</t>
        </is>
      </c>
    </row>
    <row r="32">
      <c r="A32" s="4" t="inlineStr"/>
      <c r="B32" s="4" t="inlineStr"/>
      <c r="C32" s="4" t="inlineStr">
        <is>
          <t>3.2</t>
        </is>
      </c>
      <c r="D32" s="4" t="inlineStr">
        <is>
          <t>10 témoignages vidéo clubs</t>
        </is>
      </c>
      <c r="E32" s="4" t="inlineStr">
        <is>
          <t>TS-3</t>
        </is>
      </c>
      <c r="F32" s="4" t="inlineStr">
        <is>
          <t>Q3 2026</t>
        </is>
      </c>
    </row>
    <row r="33">
      <c r="A33" s="4" t="inlineStr"/>
      <c r="B33" s="4" t="inlineStr"/>
      <c r="C33" s="4" t="inlineStr">
        <is>
          <t>3.3</t>
        </is>
      </c>
      <c r="D33" s="4" t="inlineStr">
        <is>
          <t>2 clubs ambassadeurs officiels par région</t>
        </is>
      </c>
      <c r="E33" s="4" t="inlineStr">
        <is>
          <t>TS-3</t>
        </is>
      </c>
      <c r="F33" s="4" t="inlineStr">
        <is>
          <t>Q4 2026</t>
        </is>
      </c>
    </row>
    <row r="34">
      <c r="A34" s="4" t="inlineStr"/>
      <c r="B34" s="4" t="inlineStr"/>
      <c r="C34" s="4" t="inlineStr">
        <is>
          <t>3.4</t>
        </is>
      </c>
      <c r="D34" s="4" t="inlineStr">
        <is>
          <t>15 prospects qualifiés via réseau</t>
        </is>
      </c>
      <c r="E34" s="4" t="inlineStr">
        <is>
          <t>TS-3</t>
        </is>
      </c>
      <c r="F34" s="4" t="inlineStr">
        <is>
          <t>Q3 2026</t>
        </is>
      </c>
    </row>
    <row r="35">
      <c r="A35" s="4" t="inlineStr"/>
      <c r="B35" s="4" t="inlineStr"/>
      <c r="C35" s="4" t="inlineStr">
        <is>
          <t>3.5</t>
        </is>
      </c>
      <c r="D35" s="4" t="inlineStr">
        <is>
          <t>Présence dans 2 médias sportifs régionaux</t>
        </is>
      </c>
      <c r="E35" s="4" t="inlineStr">
        <is>
          <t>TS-3</t>
        </is>
      </c>
      <c r="F35" s="4" t="inlineStr">
        <is>
          <t>Q3 2026</t>
        </is>
      </c>
    </row>
    <row r="36">
      <c r="A36" s="4" t="inlineStr"/>
      <c r="B36" s="4" t="inlineStr"/>
      <c r="C36" s="4" t="inlineStr">
        <is>
          <t>3.6</t>
        </is>
      </c>
      <c r="D36" s="4" t="inlineStr">
        <is>
          <t>1 partenariat tournoi majeur</t>
        </is>
      </c>
      <c r="E36" s="4" t="inlineStr">
        <is>
          <t>TS-3</t>
        </is>
      </c>
      <c r="F36" s="4" t="inlineStr">
        <is>
          <t>Q4 2026</t>
        </is>
      </c>
    </row>
    <row r="37">
      <c r="A37" s="4" t="inlineStr"/>
      <c r="B37" s="4" t="inlineStr"/>
      <c r="C37" s="4" t="inlineStr">
        <is>
          <t>3.7</t>
        </is>
      </c>
      <c r="D37" s="4" t="inlineStr">
        <is>
          <t>NPS ≥50</t>
        </is>
      </c>
      <c r="E37" s="4" t="inlineStr">
        <is>
          <t>TS-3</t>
        </is>
      </c>
      <c r="F37" s="4" t="inlineStr">
        <is>
          <t>Q4 2026</t>
        </is>
      </c>
    </row>
    <row r="38">
      <c r="A38" s="4" t="inlineStr"/>
      <c r="B38" s="4" t="inlineStr"/>
      <c r="C38" s="4" t="inlineStr">
        <is>
          <t>3.8</t>
        </is>
      </c>
      <c r="D38" s="4" t="inlineStr">
        <is>
          <t>25 clubs onboardés en Q1-Q2</t>
        </is>
      </c>
      <c r="E38" s="4" t="inlineStr">
        <is>
          <t>TS-3</t>
        </is>
      </c>
      <c r="F38" s="4" t="inlineStr">
        <is>
          <t>Juin 2026</t>
        </is>
      </c>
    </row>
    <row r="39">
      <c r="A39" s="4" t="inlineStr">
        <is>
          <t>O4</t>
        </is>
      </c>
      <c r="B39" s="4" t="inlineStr">
        <is>
          <t>Garantir une infrastructure fiable à la hauteur de l'ambition</t>
        </is>
      </c>
      <c r="C39" s="4" t="inlineStr">
        <is>
          <t>4.1</t>
        </is>
      </c>
      <c r="D39" s="4" t="inlineStr">
        <is>
          <t>Uptime API 99.5%</t>
        </is>
      </c>
      <c r="E39" s="4" t="inlineStr">
        <is>
          <t>TS-4</t>
        </is>
      </c>
      <c r="F39" s="4" t="inlineStr">
        <is>
          <t>Continu</t>
        </is>
      </c>
    </row>
    <row r="40">
      <c r="A40" s="4" t="inlineStr"/>
      <c r="B40" s="4" t="inlineStr"/>
      <c r="C40" s="4" t="inlineStr">
        <is>
          <t>4.2</t>
        </is>
      </c>
      <c r="D40" s="4" t="inlineStr">
        <is>
          <t>MTTR incident &lt;2h</t>
        </is>
      </c>
      <c r="E40" s="4" t="inlineStr">
        <is>
          <t>TS-4</t>
        </is>
      </c>
      <c r="F40" s="4" t="inlineStr">
        <is>
          <t>Continu</t>
        </is>
      </c>
    </row>
    <row r="41">
      <c r="A41" s="4" t="inlineStr"/>
      <c r="B41" s="4" t="inlineStr"/>
      <c r="C41" s="4" t="inlineStr">
        <is>
          <t>4.3</t>
        </is>
      </c>
      <c r="D41" s="4" t="inlineStr">
        <is>
          <t>0 perte de données vidéo/config (checksum SHA-256)</t>
        </is>
      </c>
      <c r="E41" s="4" t="inlineStr">
        <is>
          <t>TS-4</t>
        </is>
      </c>
      <c r="F41" s="4" t="inlineStr">
        <is>
          <t>Continu</t>
        </is>
      </c>
    </row>
    <row r="42">
      <c r="A42" s="4" t="inlineStr"/>
      <c r="B42" s="4" t="inlineStr"/>
      <c r="C42" s="4" t="inlineStr">
        <is>
          <t>4.4</t>
        </is>
      </c>
      <c r="D42" s="4" t="inlineStr">
        <is>
          <t>OTA success rate &gt;95%</t>
        </is>
      </c>
      <c r="E42" s="4" t="inlineStr">
        <is>
          <t>TS-4</t>
        </is>
      </c>
      <c r="F42" s="4" t="inlineStr">
        <is>
          <t>Q2 2026</t>
        </is>
      </c>
    </row>
    <row r="43">
      <c r="A43" s="4" t="inlineStr"/>
      <c r="B43" s="4" t="inlineStr"/>
      <c r="C43" s="4" t="inlineStr">
        <is>
          <t>4.5</t>
        </is>
      </c>
      <c r="D43" s="4" t="inlineStr">
        <is>
          <t>Temps de résolution support &lt;24h</t>
        </is>
      </c>
      <c r="E43" s="4" t="inlineStr">
        <is>
          <t>TS-4</t>
        </is>
      </c>
      <c r="F43" s="4" t="inlineStr">
        <is>
          <t>Continu</t>
        </is>
      </c>
    </row>
    <row r="44">
      <c r="A44" s="4" t="inlineStr"/>
      <c r="B44" s="4" t="inlineStr"/>
      <c r="C44" s="4" t="inlineStr">
        <is>
          <t>4.6</t>
        </is>
      </c>
      <c r="D44" s="4" t="inlineStr">
        <is>
          <t>Monitoring proactif en place (alertes automatiques)</t>
        </is>
      </c>
      <c r="E44" s="4" t="inlineStr">
        <is>
          <t>TS-4</t>
        </is>
      </c>
      <c r="F44" s="4" t="inlineStr">
        <is>
          <t>Q2 2026</t>
        </is>
      </c>
    </row>
    <row r="45">
      <c r="A45" s="4" t="inlineStr"/>
      <c r="B45" s="4" t="inlineStr"/>
      <c r="C45" s="4" t="inlineStr">
        <is>
          <t>4.7</t>
        </is>
      </c>
      <c r="D45" s="4" t="inlineStr">
        <is>
          <t>Procédure d'installation documentée reproductible sans Gabin</t>
        </is>
      </c>
      <c r="E45" s="4" t="inlineStr">
        <is>
          <t>TS-4</t>
        </is>
      </c>
      <c r="F45" s="4" t="inlineStr">
        <is>
          <t>Q2 2026</t>
        </is>
      </c>
    </row>
    <row r="46">
      <c r="A46" s="4" t="inlineStr">
        <is>
          <t>O5</t>
        </is>
      </c>
      <c r="B46" s="4" t="inlineStr">
        <is>
          <t>Construire un produit scalable sans dette technique</t>
        </is>
      </c>
      <c r="C46" s="4" t="inlineStr">
        <is>
          <t>5.1</t>
        </is>
      </c>
      <c r="D46" s="4" t="inlineStr">
        <is>
          <t>API partenaires &lt;100ms p95</t>
        </is>
      </c>
      <c r="E46" s="4" t="inlineStr">
        <is>
          <t>TS-4</t>
        </is>
      </c>
      <c r="F46" s="4" t="inlineStr">
        <is>
          <t>Q4 2026</t>
        </is>
      </c>
    </row>
    <row r="47">
      <c r="A47" s="4" t="inlineStr"/>
      <c r="B47" s="4" t="inlineStr"/>
      <c r="C47" s="4" t="inlineStr">
        <is>
          <t>5.2</t>
        </is>
      </c>
      <c r="D47" s="4" t="inlineStr">
        <is>
          <t>Tests coverage &gt;75% (actuellement ~2387 tests)</t>
        </is>
      </c>
      <c r="E47" s="4" t="inlineStr">
        <is>
          <t>TS-4</t>
        </is>
      </c>
      <c r="F47" s="4" t="inlineStr">
        <is>
          <t>Q3 2026</t>
        </is>
      </c>
    </row>
    <row r="48">
      <c r="A48" s="4" t="inlineStr"/>
      <c r="B48" s="4" t="inlineStr"/>
      <c r="C48" s="4" t="inlineStr">
        <is>
          <t>5.3</t>
        </is>
      </c>
      <c r="D48" s="4" t="inlineStr">
        <is>
          <t>Pipeline CI &lt;5min</t>
        </is>
      </c>
      <c r="E48" s="4" t="inlineStr">
        <is>
          <t>TS-4</t>
        </is>
      </c>
      <c r="F48" s="4" t="inlineStr">
        <is>
          <t>Q2 2026</t>
        </is>
      </c>
    </row>
    <row r="49">
      <c r="A49" s="4" t="inlineStr"/>
      <c r="B49" s="4" t="inlineStr"/>
      <c r="C49" s="4" t="inlineStr">
        <is>
          <t>5.4</t>
        </is>
      </c>
      <c r="D49" s="4" t="inlineStr">
        <is>
          <t>0 vulnérabilité critique non patchée sous 48h</t>
        </is>
      </c>
      <c r="E49" s="4" t="inlineStr">
        <is>
          <t>TS-4</t>
        </is>
      </c>
      <c r="F49" s="4" t="inlineStr">
        <is>
          <t>Continu</t>
        </is>
      </c>
    </row>
    <row r="50">
      <c r="A50" s="4" t="inlineStr"/>
      <c r="B50" s="4" t="inlineStr"/>
      <c r="C50" s="4" t="inlineStr">
        <is>
          <t>5.5</t>
        </is>
      </c>
      <c r="D50" s="4" t="inlineStr">
        <is>
          <t>Documentation technique à jour pour 100% des endpoints</t>
        </is>
      </c>
      <c r="E50" s="4" t="inlineStr">
        <is>
          <t>TS-4</t>
        </is>
      </c>
      <c r="F50" s="4" t="inlineStr">
        <is>
          <t>Q3 2026</t>
        </is>
      </c>
    </row>
    <row r="51">
      <c r="A51" s="4" t="inlineStr"/>
      <c r="B51" s="4" t="inlineStr"/>
      <c r="C51" s="4" t="inlineStr">
        <is>
          <t>5.6</t>
        </is>
      </c>
      <c r="D51" s="4" t="inlineStr">
        <is>
          <t>Temps d'onboarding dev externe &lt;1 jour</t>
        </is>
      </c>
      <c r="E51" s="4" t="inlineStr">
        <is>
          <t>TS-4</t>
        </is>
      </c>
      <c r="F51" s="4" t="inlineStr">
        <is>
          <t>Q3 2026</t>
        </is>
      </c>
    </row>
    <row r="52">
      <c r="A52" s="4" t="inlineStr"/>
      <c r="B52" s="4" t="inlineStr"/>
      <c r="C52" s="4" t="inlineStr">
        <is>
          <t>5.7</t>
        </is>
      </c>
      <c r="D52" s="4" t="inlineStr">
        <is>
          <t>Architecture supportant 200 clubs sans refonte</t>
        </is>
      </c>
      <c r="E52" s="4" t="inlineStr">
        <is>
          <t>TS-4</t>
        </is>
      </c>
      <c r="F52" s="4" t="inlineStr">
        <is>
          <t>Q4 2026</t>
        </is>
      </c>
    </row>
    <row r="53">
      <c r="A53" s="4" t="inlineStr"/>
      <c r="B53" s="4" t="inlineStr"/>
      <c r="C53" s="4" t="inlineStr">
        <is>
          <t>5.8</t>
        </is>
      </c>
      <c r="D53" s="4" t="inlineStr">
        <is>
          <t>Roadmap produit Q3-Q4 2026 définie et priorisée</t>
        </is>
      </c>
      <c r="E53" s="4" t="inlineStr">
        <is>
          <t>TS-4</t>
        </is>
      </c>
      <c r="F53" s="4" t="inlineStr">
        <is>
          <t>Q2 2026</t>
        </is>
      </c>
    </row>
    <row r="54">
      <c r="A54" t="inlineStr">
        <is>
          <t>Total: 5 Objectifs, 38 Key Results</t>
        </is>
      </c>
    </row>
    <row r="55"/>
    <row r="56">
      <c r="A56" s="2" t="inlineStr">
        <is>
          <t>KPI Actuels (Fév 2026)</t>
        </is>
      </c>
    </row>
    <row r="57">
      <c r="A57" s="8" t="inlineStr">
        <is>
          <t>KPI</t>
        </is>
      </c>
      <c r="B57" s="8" t="inlineStr">
        <is>
          <t>Valeur actuelle</t>
        </is>
      </c>
      <c r="C57" s="8" t="inlineStr">
        <is>
          <t>Target</t>
        </is>
      </c>
      <c r="D57" s="8" t="inlineStr">
        <is>
          <t>Statut</t>
        </is>
      </c>
      <c r="E57" s="8" t="inlineStr">
        <is>
          <t>Source</t>
        </is>
      </c>
    </row>
    <row r="58">
      <c r="A58" s="4" t="inlineStr">
        <is>
          <t>Clubs actifs (Pi connectés)</t>
        </is>
      </c>
      <c r="B58" s="4" t="inlineStr">
        <is>
          <t>4</t>
        </is>
      </c>
      <c r="C58" s="4" t="inlineStr">
        <is>
          <t>100</t>
        </is>
      </c>
      <c r="D58" s="4" t="inlineStr">
        <is>
          <t>🟡 En cours</t>
        </is>
      </c>
      <c r="E58" s="4" t="inlineStr">
        <is>
          <t>Dashboard fleet</t>
        </is>
      </c>
    </row>
    <row r="59">
      <c r="A59" s="4" t="inlineStr">
        <is>
          <t>Annonceurs actifs</t>
        </is>
      </c>
      <c r="B59" s="4" t="inlineStr">
        <is>
          <t>0</t>
        </is>
      </c>
      <c r="C59" s="4" t="inlineStr">
        <is>
          <t>10</t>
        </is>
      </c>
      <c r="D59" s="4" t="inlineStr">
        <is>
          <t>🟡 Early stage</t>
        </is>
      </c>
      <c r="E59" s="4" t="inlineStr">
        <is>
          <t>DB advertisers</t>
        </is>
      </c>
    </row>
    <row r="60">
      <c r="A60" s="4" t="inlineStr">
        <is>
          <t>Tests totaux</t>
        </is>
      </c>
      <c r="B60" s="4" t="inlineStr">
        <is>
          <t>2 235</t>
        </is>
      </c>
      <c r="C60" s="4" t="inlineStr">
        <is>
          <t>2 500</t>
        </is>
      </c>
      <c r="D60" s="4" t="inlineStr">
        <is>
          <t>🟢 On track</t>
        </is>
      </c>
      <c r="E60" s="4" t="inlineStr">
        <is>
          <t>npm run test:*</t>
        </is>
      </c>
    </row>
    <row r="61">
      <c r="A61" s="4" t="inlineStr">
        <is>
          <t>Uptime API</t>
        </is>
      </c>
      <c r="B61" s="4" t="inlineStr">
        <is>
          <t>99.2%</t>
        </is>
      </c>
      <c r="C61" s="4" t="inlineStr">
        <is>
          <t>99.5%</t>
        </is>
      </c>
      <c r="D61" s="4" t="inlineStr">
        <is>
          <t>🟡 Proche</t>
        </is>
      </c>
      <c r="E61" s="4" t="inlineStr">
        <is>
          <t>Grafana</t>
        </is>
      </c>
    </row>
    <row r="62">
      <c r="A62" s="4" t="inlineStr">
        <is>
          <t>Versions livrées</t>
        </is>
      </c>
      <c r="B62" s="4" t="inlineStr">
        <is>
          <t>30+ (v3.47→v3.60)</t>
        </is>
      </c>
      <c r="C62" s="4" t="inlineStr">
        <is>
          <t>Continu</t>
        </is>
      </c>
      <c r="D62" s="4" t="inlineStr">
        <is>
          <t>🟢 Actif</t>
        </is>
      </c>
      <c r="E62" s="4" t="inlineStr">
        <is>
          <t>Git tags</t>
        </is>
      </c>
    </row>
    <row r="63">
      <c r="A63" s="4" t="inlineStr">
        <is>
          <t>Features implémentées</t>
        </is>
      </c>
      <c r="B63" s="4" t="inlineStr">
        <is>
          <t>184+</t>
        </is>
      </c>
      <c r="C63" s="4" t="inlineStr">
        <is>
          <t>-</t>
        </is>
      </c>
      <c r="D63" s="4" t="inlineStr">
        <is>
          <t>🟢 Complet</t>
        </is>
      </c>
      <c r="E63" s="4" t="inlineStr">
        <is>
          <t>IMPLEMENTED-BACKLOG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2" customWidth="1" min="3" max="3"/>
    <col width="40" customWidth="1" min="4" max="4"/>
    <col width="40" customWidth="1" min="5" max="5"/>
    <col width="28" customWidth="1" min="6" max="6"/>
    <col width="40" customWidth="1" min="7" max="7"/>
  </cols>
  <sheetData>
    <row r="1">
      <c r="A1" s="1" t="inlineStr">
        <is>
          <t>NEOPRO — Value Streams &amp; Flux de Valeur</t>
        </is>
      </c>
    </row>
    <row r="2"/>
    <row r="3">
      <c r="A3" s="2" t="inlineStr">
        <is>
          <t>Outcome Value Streams (OVS)</t>
        </is>
      </c>
    </row>
    <row r="4">
      <c r="A4" s="8" t="inlineStr">
        <is>
          <t>ID</t>
        </is>
      </c>
      <c r="B4" s="8" t="inlineStr">
        <is>
          <t>Value Stream</t>
        </is>
      </c>
      <c r="C4" s="8" t="inlineStr">
        <is>
          <t>Trigger</t>
        </is>
      </c>
      <c r="D4" s="8" t="inlineStr">
        <is>
          <t>Value Delivered</t>
        </is>
      </c>
      <c r="E4" s="8" t="inlineStr">
        <is>
          <t>Key Steps</t>
        </is>
      </c>
      <c r="F4" s="8" t="inlineStr">
        <is>
          <t>Lead Time</t>
        </is>
      </c>
      <c r="G4" s="8" t="inlineStr">
        <is>
          <t>Bottleneck</t>
        </is>
      </c>
    </row>
    <row r="5">
      <c r="A5" s="6" t="inlineStr">
        <is>
          <t>OVS-1</t>
        </is>
      </c>
      <c r="B5" s="6" t="inlineStr">
        <is>
          <t>Club to Screen</t>
        </is>
      </c>
      <c r="C5" s="6" t="inlineStr">
        <is>
          <t>Club signe contrat</t>
        </is>
      </c>
      <c r="D5" s="6" t="inlineStr">
        <is>
          <t>Vidéos diffusées sur TV dans le gymnase</t>
        </is>
      </c>
      <c r="E5" s="6" t="inlineStr">
        <is>
          <t>Onboarding → Config → Upload → Deploy → Diffusion</t>
        </is>
      </c>
      <c r="F5" s="6" t="inlineStr">
        <is>
          <t>&lt; 1 jour (target)</t>
        </is>
      </c>
      <c r="G5" s="6" t="inlineStr">
        <is>
          <t>Installation physique Pi</t>
        </is>
      </c>
    </row>
    <row r="6">
      <c r="A6" s="6" t="inlineStr">
        <is>
          <t>OVS-2</t>
        </is>
      </c>
      <c r="B6" s="6" t="inlineStr">
        <is>
          <t>Sponsor to Impression</t>
        </is>
      </c>
      <c r="C6" s="6" t="inlineStr">
        <is>
          <t>Annonceur signe contrat</t>
        </is>
      </c>
      <c r="D6" s="6" t="inlineStr">
        <is>
          <t>Impressions pub mesurées et certifiées</t>
        </is>
      </c>
      <c r="E6" s="6" t="inlineStr">
        <is>
          <t>Signup → Upload pub → Association sites → Diffusion → Report</t>
        </is>
      </c>
      <c r="F6" s="6" t="inlineStr">
        <is>
          <t>&lt; 2 jours</t>
        </is>
      </c>
      <c r="G6" s="6" t="inlineStr">
        <is>
          <t>Association manuelle site-sponsor</t>
        </is>
      </c>
    </row>
    <row r="7"/>
    <row r="8">
      <c r="A8" s="2" t="inlineStr">
        <is>
          <t>OVS-1 — Club to Screen (détail)</t>
        </is>
      </c>
    </row>
    <row r="9">
      <c r="A9" s="8" t="inlineStr">
        <is>
          <t>#</t>
        </is>
      </c>
      <c r="B9" s="8" t="inlineStr">
        <is>
          <t>Step</t>
        </is>
      </c>
      <c r="C9" s="8" t="inlineStr">
        <is>
          <t>Outil</t>
        </is>
      </c>
      <c r="D9" s="8" t="inlineStr">
        <is>
          <t>Owner</t>
        </is>
      </c>
      <c r="E9" s="8" t="inlineStr">
        <is>
          <t>Durée</t>
        </is>
      </c>
      <c r="F9" s="8" t="inlineStr">
        <is>
          <t>Input</t>
        </is>
      </c>
      <c r="G9" s="8" t="inlineStr">
        <is>
          <t>Output</t>
        </is>
      </c>
    </row>
    <row r="10">
      <c r="A10" s="4" t="n">
        <v>1</v>
      </c>
      <c r="B10" s="4" t="inlineStr">
        <is>
          <t>Vente &amp; signature</t>
        </is>
      </c>
      <c r="C10" s="4" t="inlineStr">
        <is>
          <t>CRM (externe)</t>
        </is>
      </c>
      <c r="D10" s="4" t="inlineStr">
        <is>
          <t>Commercial</t>
        </is>
      </c>
      <c r="E10" s="4" t="inlineStr">
        <is>
          <t>1-2 semaines</t>
        </is>
      </c>
      <c r="F10" s="4" t="inlineStr">
        <is>
          <t>Lead club</t>
        </is>
      </c>
      <c r="G10" s="4" t="inlineStr">
        <is>
          <t>Contrat signé + abonnement</t>
        </is>
      </c>
    </row>
    <row r="11">
      <c r="A11" s="4" t="n">
        <v>2</v>
      </c>
      <c r="B11" s="4" t="inlineStr">
        <is>
          <t>Installation Pi dans le club</t>
        </is>
      </c>
      <c r="C11" s="4" t="inlineStr">
        <is>
          <t>Toolbox Déploiement</t>
        </is>
      </c>
      <c r="D11" s="4" t="inlineStr">
        <is>
          <t>Technicien</t>
        </is>
      </c>
      <c r="E11" s="4" t="inlineStr">
        <is>
          <t>1-2 heures</t>
        </is>
      </c>
      <c r="F11" s="4" t="inlineStr">
        <is>
          <t>Pi + TV + SD card</t>
        </is>
      </c>
      <c r="G11" s="4" t="inlineStr">
        <is>
          <t>Pi connecté au Dashboard</t>
        </is>
      </c>
    </row>
    <row r="12">
      <c r="A12" s="4" t="n">
        <v>3</v>
      </c>
      <c r="B12" s="4" t="inlineStr">
        <is>
          <t>Configuration club</t>
        </is>
      </c>
      <c r="C12" s="4" t="inlineStr">
        <is>
          <t>Dashboard Admin</t>
        </is>
      </c>
      <c r="D12" s="4" t="inlineStr">
        <is>
          <t>Opérateur</t>
        </is>
      </c>
      <c r="E12" s="4" t="inlineStr">
        <is>
          <t>15 min</t>
        </is>
      </c>
      <c r="F12" s="4" t="inlineStr">
        <is>
          <t>Logo, catégories, sponsors</t>
        </is>
      </c>
      <c r="G12" s="4" t="inlineStr">
        <is>
          <t>Config déployée sur Pi</t>
        </is>
      </c>
    </row>
    <row r="13">
      <c r="A13" s="4" t="n">
        <v>4</v>
      </c>
      <c r="B13" s="4" t="inlineStr">
        <is>
          <t>Upload vidéos contenu</t>
        </is>
      </c>
      <c r="C13" s="4" t="inlineStr">
        <is>
          <t>Dashboard Admin</t>
        </is>
      </c>
      <c r="D13" s="4" t="inlineStr">
        <is>
          <t>Opérateur</t>
        </is>
      </c>
      <c r="E13" s="4" t="inlineStr">
        <is>
          <t>10 min</t>
        </is>
      </c>
      <c r="F13" s="4" t="inlineStr">
        <is>
          <t>Fichiers vidéo</t>
        </is>
      </c>
      <c r="G13" s="4" t="inlineStr">
        <is>
          <t>Vidéos sur FTP + checksum</t>
        </is>
      </c>
    </row>
    <row r="14">
      <c r="A14" s="4" t="n">
        <v>5</v>
      </c>
      <c r="B14" s="4" t="inlineStr">
        <is>
          <t>Déploiement vers Pi</t>
        </is>
      </c>
      <c r="C14" s="4" t="inlineStr">
        <is>
          <t>Central Server → Sync Agent</t>
        </is>
      </c>
      <c r="D14" s="4" t="inlineStr">
        <is>
          <t>Automatisé</t>
        </is>
      </c>
      <c r="E14" s="4" t="inlineStr">
        <is>
          <t>2-5 min</t>
        </is>
      </c>
      <c r="F14" s="4" t="inlineStr">
        <is>
          <t>Commande deploy</t>
        </is>
      </c>
      <c r="G14" s="4" t="inlineStr">
        <is>
          <t>Vidéos sur disque Pi</t>
        </is>
      </c>
    </row>
    <row r="15">
      <c r="A15" s="4" t="n">
        <v>6</v>
      </c>
      <c r="B15" s="4" t="inlineStr">
        <is>
          <t>Diffusion sur TV</t>
        </is>
      </c>
      <c r="C15" s="4" t="inlineStr">
        <is>
          <t>TV Player</t>
        </is>
      </c>
      <c r="D15" s="4" t="inlineStr">
        <is>
          <t>Automatisé</t>
        </is>
      </c>
      <c r="E15" s="4" t="inlineStr">
        <is>
          <t>Immédiat</t>
        </is>
      </c>
      <c r="F15" s="4" t="inlineStr">
        <is>
          <t>Config + vidéos</t>
        </is>
      </c>
      <c r="G15" s="4" t="inlineStr">
        <is>
          <t>Boucle vidéo diffusée</t>
        </is>
      </c>
    </row>
    <row r="16">
      <c r="A16" s="4" t="n">
        <v>7</v>
      </c>
      <c r="B16" s="4" t="inlineStr">
        <is>
          <t>Match day (bénévole)</t>
        </is>
      </c>
      <c r="C16" s="4" t="inlineStr">
        <is>
          <t>Télécommande</t>
        </is>
      </c>
      <c r="D16" s="4" t="inlineStr">
        <is>
          <t>Staff club</t>
        </is>
      </c>
      <c r="E16" s="4" t="inlineStr">
        <is>
          <t>Durée match</t>
        </is>
      </c>
      <c r="F16" s="4" t="inlineStr">
        <is>
          <t>QR code / URL</t>
        </is>
      </c>
      <c r="G16" s="4" t="inlineStr">
        <is>
          <t>Score live + phases + recording</t>
        </is>
      </c>
    </row>
    <row r="17">
      <c r="A17" s="4" t="n">
        <v>8</v>
      </c>
      <c r="B17" s="4" t="inlineStr">
        <is>
          <t>Analytics &amp; rapports</t>
        </is>
      </c>
      <c r="C17" s="4" t="inlineStr">
        <is>
          <t>Dashboard + PDF</t>
        </is>
      </c>
      <c r="D17" s="4" t="inlineStr">
        <is>
          <t>Automatisé</t>
        </is>
      </c>
      <c r="E17" s="4" t="inlineStr">
        <is>
          <t>Quotidien</t>
        </is>
      </c>
      <c r="F17" s="4" t="inlineStr">
        <is>
          <t>Impressions brutes</t>
        </is>
      </c>
      <c r="G17" s="4" t="inlineStr">
        <is>
          <t>Stats club + sponsor</t>
        </is>
      </c>
    </row>
    <row r="18"/>
    <row r="19">
      <c r="A19" s="2" t="inlineStr">
        <is>
          <t>OVS-2 — Sponsor to Impression (détail)</t>
        </is>
      </c>
    </row>
    <row r="20">
      <c r="A20" s="9" t="inlineStr">
        <is>
          <t>#</t>
        </is>
      </c>
      <c r="B20" s="9" t="inlineStr">
        <is>
          <t>Step</t>
        </is>
      </c>
      <c r="C20" s="9" t="inlineStr">
        <is>
          <t>Outil</t>
        </is>
      </c>
      <c r="D20" s="9" t="inlineStr">
        <is>
          <t>Owner</t>
        </is>
      </c>
      <c r="E20" s="9" t="inlineStr">
        <is>
          <t>Durée</t>
        </is>
      </c>
      <c r="F20" s="9" t="inlineStr">
        <is>
          <t>Input</t>
        </is>
      </c>
      <c r="G20" s="9" t="inlineStr">
        <is>
          <t>Output</t>
        </is>
      </c>
    </row>
    <row r="21">
      <c r="A21" s="4" t="n">
        <v>1</v>
      </c>
      <c r="B21" s="4" t="inlineStr">
        <is>
          <t>Inscription annonceur</t>
        </is>
      </c>
      <c r="C21" s="4" t="inlineStr">
        <is>
          <t>Portail Annonceur / Magic Link</t>
        </is>
      </c>
      <c r="D21" s="4" t="inlineStr">
        <is>
          <t>Annonceur</t>
        </is>
      </c>
      <c r="E21" s="4" t="inlineStr">
        <is>
          <t>5 min</t>
        </is>
      </c>
      <c r="F21" s="4" t="inlineStr">
        <is>
          <t>Email + vidéo pub</t>
        </is>
      </c>
      <c r="G21" s="4" t="inlineStr">
        <is>
          <t>Compte créé + vidéo uploadée</t>
        </is>
      </c>
    </row>
    <row r="22">
      <c r="A22" s="4" t="n">
        <v>2</v>
      </c>
      <c r="B22" s="4" t="inlineStr">
        <is>
          <t>Association site-sponsor</t>
        </is>
      </c>
      <c r="C22" s="4" t="inlineStr">
        <is>
          <t>Dashboard Admin</t>
        </is>
      </c>
      <c r="D22" s="4" t="inlineStr">
        <is>
          <t>Opérateur</t>
        </is>
      </c>
      <c r="E22" s="4" t="inlineStr">
        <is>
          <t>2 min</t>
        </is>
      </c>
      <c r="F22" s="4" t="inlineStr">
        <is>
          <t>Sponsor + sites cibles</t>
        </is>
      </c>
      <c r="G22" s="4" t="inlineStr">
        <is>
          <t>Mapping sponsor→sites</t>
        </is>
      </c>
    </row>
    <row r="23">
      <c r="A23" s="4" t="n">
        <v>3</v>
      </c>
      <c r="B23" s="4" t="inlineStr">
        <is>
          <t>Sync sponsors vers Pi</t>
        </is>
      </c>
      <c r="C23" s="4" t="inlineStr">
        <is>
          <t>Central Server → Sync Agent</t>
        </is>
      </c>
      <c r="D23" s="4" t="inlineStr">
        <is>
          <t>Automatisé</t>
        </is>
      </c>
      <c r="E23" s="4" t="inlineStr">
        <is>
          <t>2-5 min</t>
        </is>
      </c>
      <c r="F23" s="4" t="inlineStr">
        <is>
          <t>Config updated</t>
        </is>
      </c>
      <c r="G23" s="4" t="inlineStr">
        <is>
          <t>Sponsors sur disque Pi</t>
        </is>
      </c>
    </row>
    <row r="24">
      <c r="A24" s="4" t="n">
        <v>4</v>
      </c>
      <c r="B24" s="4" t="inlineStr">
        <is>
          <t>Diffusion pub sur TV</t>
        </is>
      </c>
      <c r="C24" s="4" t="inlineStr">
        <is>
          <t>TV Player</t>
        </is>
      </c>
      <c r="D24" s="4" t="inlineStr">
        <is>
          <t>Automatisé</t>
        </is>
      </c>
      <c r="E24" s="4" t="inlineStr">
        <is>
          <t>Immédiat</t>
        </is>
      </c>
      <c r="F24" s="4" t="inlineStr">
        <is>
          <t>Boucle vidéo avec pubs</t>
        </is>
      </c>
      <c r="G24" s="4" t="inlineStr">
        <is>
          <t>Impressions trackées</t>
        </is>
      </c>
    </row>
    <row r="25">
      <c r="A25" s="4" t="n">
        <v>5</v>
      </c>
      <c r="B25" s="4" t="inlineStr">
        <is>
          <t>Tracking impressions</t>
        </is>
      </c>
      <c r="C25" s="4" t="inlineStr">
        <is>
          <t>TV Player → Sync Agent → API</t>
        </is>
      </c>
      <c r="D25" s="4" t="inlineStr">
        <is>
          <t>Automatisé</t>
        </is>
      </c>
      <c r="E25" s="4" t="inlineStr">
        <is>
          <t>Batch quotidien</t>
        </is>
      </c>
      <c r="F25" s="4" t="inlineStr">
        <is>
          <t>Buffer local Pi</t>
        </is>
      </c>
      <c r="G25" s="4" t="inlineStr">
        <is>
          <t>Impressions en DB</t>
        </is>
      </c>
    </row>
    <row r="26">
      <c r="A26" s="4" t="n">
        <v>6</v>
      </c>
      <c r="B26" s="4" t="inlineStr">
        <is>
          <t>Proof of broadcast</t>
        </is>
      </c>
      <c r="C26" s="4" t="inlineStr">
        <is>
          <t>Central Server</t>
        </is>
      </c>
      <c r="D26" s="4" t="inlineStr">
        <is>
          <t>Automatisé</t>
        </is>
      </c>
      <c r="E26" s="4" t="inlineStr">
        <is>
          <t>Temps réel</t>
        </is>
      </c>
      <c r="F26" s="4" t="inlineStr">
        <is>
          <t>Screenshot + timestamp</t>
        </is>
      </c>
      <c r="G26" s="4" t="inlineStr">
        <is>
          <t>Preuve certifiée SHA-256</t>
        </is>
      </c>
    </row>
    <row r="27">
      <c r="A27" s="4" t="n">
        <v>7</v>
      </c>
      <c r="B27" s="4" t="inlineStr">
        <is>
          <t>Rapport annonceur</t>
        </is>
      </c>
      <c r="C27" s="4" t="inlineStr">
        <is>
          <t>Portail Annonceur / PDF</t>
        </is>
      </c>
      <c r="D27" s="4" t="inlineStr">
        <is>
          <t>Annonceur</t>
        </is>
      </c>
      <c r="E27" s="4" t="inlineStr">
        <is>
          <t>Self-service</t>
        </is>
      </c>
      <c r="F27" s="4" t="inlineStr">
        <is>
          <t>Stats agrégées</t>
        </is>
      </c>
      <c r="G27" s="4" t="inlineStr">
        <is>
          <t>PDF/Excel export</t>
        </is>
      </c>
    </row>
    <row r="28"/>
    <row r="29">
      <c r="A29" s="2" t="inlineStr">
        <is>
          <t>DVS-1 — Neopro Platform (Development Value Stream)</t>
        </is>
      </c>
    </row>
    <row r="30">
      <c r="A30" s="10" t="inlineStr">
        <is>
          <t>#</t>
        </is>
      </c>
      <c r="B30" s="10" t="inlineStr">
        <is>
          <t>Step</t>
        </is>
      </c>
      <c r="C30" s="10" t="inlineStr">
        <is>
          <t>Owner</t>
        </is>
      </c>
      <c r="D30" s="10" t="inlineStr">
        <is>
          <t>Outils</t>
        </is>
      </c>
      <c r="E30" s="10" t="inlineStr">
        <is>
          <t>Métriques</t>
        </is>
      </c>
      <c r="F30" s="10" t="inlineStr">
        <is>
          <t>Cadence</t>
        </is>
      </c>
    </row>
    <row r="31">
      <c r="A31" s="4" t="n">
        <v>1</v>
      </c>
      <c r="B31" s="4" t="inlineStr">
        <is>
          <t>Product Discovery &amp; Backlog</t>
        </is>
      </c>
      <c r="C31" s="4" t="inlineStr">
        <is>
          <t>PO (Gwenvael)</t>
        </is>
      </c>
      <c r="D31" s="4" t="inlineStr">
        <is>
          <t>SAFe Framework, Notion</t>
        </is>
      </c>
      <c r="E31" s="4" t="inlineStr">
        <is>
          <t>WSJF score, backlog depth</t>
        </is>
      </c>
      <c r="F31" s="4" t="inlineStr">
        <is>
          <t>Continu</t>
        </is>
      </c>
    </row>
    <row r="32">
      <c r="A32" s="4" t="n">
        <v>2</v>
      </c>
      <c r="B32" s="4" t="inlineStr">
        <is>
          <t>Architecture &amp; Design</t>
        </is>
      </c>
      <c r="C32" s="4" t="inlineStr">
        <is>
          <t>Tech Lead</t>
        </is>
      </c>
      <c r="D32" s="4" t="inlineStr">
        <is>
          <t>ADR, TypeScript strict</t>
        </is>
      </c>
      <c r="E32" s="4" t="inlineStr">
        <is>
          <t>Design reviews passés</t>
        </is>
      </c>
      <c r="F32" s="4" t="inlineStr">
        <is>
          <t>Par feature</t>
        </is>
      </c>
    </row>
    <row r="33">
      <c r="A33" s="4" t="n">
        <v>3</v>
      </c>
      <c r="B33" s="4" t="inlineStr">
        <is>
          <t>Development (Sprint)</t>
        </is>
      </c>
      <c r="C33" s="4" t="inlineStr">
        <is>
          <t>Engineering</t>
        </is>
      </c>
      <c r="D33" s="4" t="inlineStr">
        <is>
          <t>Git, ESLint, Repository Pattern</t>
        </is>
      </c>
      <c r="E33" s="4" t="inlineStr">
        <is>
          <t>Vélocité SP/sprint, WIP</t>
        </is>
      </c>
      <c r="F33" s="4" t="inlineStr">
        <is>
          <t>Sprint 2 semaines</t>
        </is>
      </c>
    </row>
    <row r="34">
      <c r="A34" s="4" t="n">
        <v>4</v>
      </c>
      <c r="B34" s="4" t="inlineStr">
        <is>
          <t>Testing &amp; QA</t>
        </is>
      </c>
      <c r="C34" s="4" t="inlineStr">
        <is>
          <t>Engineering</t>
        </is>
      </c>
      <c r="D34" s="4" t="inlineStr">
        <is>
          <t>Jest, Karma, Playwright, Smoke</t>
        </is>
      </c>
      <c r="E34" s="4" t="inlineStr">
        <is>
          <t>2 235 tests, coverage</t>
        </is>
      </c>
      <c r="F34" s="4" t="inlineStr">
        <is>
          <t>CI automatique</t>
        </is>
      </c>
    </row>
    <row r="35">
      <c r="A35" s="4" t="n">
        <v>5</v>
      </c>
      <c r="B35" s="4" t="inlineStr">
        <is>
          <t>Release &amp; OTA</t>
        </is>
      </c>
      <c r="C35" s="4" t="inlineStr">
        <is>
          <t>DevOps</t>
        </is>
      </c>
      <c r="D35" s="4" t="inlineStr">
        <is>
          <t>Git tags, Railway, FTP, Canary</t>
        </is>
      </c>
      <c r="E35" s="4" t="inlineStr">
        <is>
          <t>OTA success rate, rollback</t>
        </is>
      </c>
      <c r="F35" s="4" t="inlineStr">
        <is>
          <t>~2 releases/semaine</t>
        </is>
      </c>
    </row>
    <row r="36">
      <c r="A36" s="4" t="n">
        <v>6</v>
      </c>
      <c r="B36" s="4" t="inlineStr">
        <is>
          <t>Monitoring &amp; Feedback</t>
        </is>
      </c>
      <c r="C36" s="4" t="inlineStr">
        <is>
          <t>Support</t>
        </is>
      </c>
      <c r="D36" s="4" t="inlineStr">
        <is>
          <t>Grafana, Prometheus, Slack</t>
        </is>
      </c>
      <c r="E36" s="4" t="inlineStr">
        <is>
          <t>Uptime, MTTR, NPS</t>
        </is>
      </c>
      <c r="F36" s="4" t="inlineStr">
        <is>
          <t>Continu</t>
        </is>
      </c>
    </row>
    <row r="37"/>
    <row r="38">
      <c r="A38" s="2" t="inlineStr">
        <is>
          <t>Cartographie 12 Outils Neopro</t>
        </is>
      </c>
    </row>
    <row r="39">
      <c r="A39" s="11" t="inlineStr">
        <is>
          <t>#</t>
        </is>
      </c>
      <c r="B39" s="11" t="inlineStr">
        <is>
          <t>Outil</t>
        </is>
      </c>
      <c r="C39" s="11" t="inlineStr">
        <is>
          <t>Type</t>
        </is>
      </c>
      <c r="D39" s="11" t="inlineStr">
        <is>
          <t>Public</t>
        </is>
      </c>
      <c r="E39" s="11" t="inlineStr">
        <is>
          <t>Protocole</t>
        </is>
      </c>
      <c r="F39" s="11" t="inlineStr">
        <is>
          <t>VS lié</t>
        </is>
      </c>
      <c r="G39" s="11" t="inlineStr">
        <is>
          <t>Features clés</t>
        </is>
      </c>
    </row>
    <row r="40">
      <c r="A40" s="6" t="n">
        <v>1</v>
      </c>
      <c r="B40" s="6" t="inlineStr">
        <is>
          <t>Dashboard Admin</t>
        </is>
      </c>
      <c r="C40" s="6" t="inlineStr">
        <is>
          <t>Produit cloud</t>
        </is>
      </c>
      <c r="D40" s="6" t="inlineStr">
        <is>
          <t>Admin, Opérateurs</t>
        </is>
      </c>
      <c r="E40" s="6" t="inlineStr">
        <is>
          <t>HTTP + WebSocket</t>
        </is>
      </c>
      <c r="F40" s="6" t="inlineStr">
        <is>
          <t>OVS-1, OVS-2</t>
        </is>
      </c>
      <c r="G40" s="6" t="inlineStr">
        <is>
          <t>Fleet mgmt, deploy, analytics, alerting, OTA</t>
        </is>
      </c>
    </row>
    <row r="41">
      <c r="A41" s="6" t="n">
        <v>2</v>
      </c>
      <c r="B41" s="6" t="inlineStr">
        <is>
          <t>Portail Annonceur</t>
        </is>
      </c>
      <c r="C41" s="6" t="inlineStr">
        <is>
          <t>Produit cloud</t>
        </is>
      </c>
      <c r="D41" s="6" t="inlineStr">
        <is>
          <t>Annonceurs</t>
        </is>
      </c>
      <c r="E41" s="6" t="inlineStr">
        <is>
          <t>HTTP + JWT</t>
        </is>
      </c>
      <c r="F41" s="6" t="inlineStr">
        <is>
          <t>OVS-2</t>
        </is>
      </c>
      <c r="G41" s="6" t="inlineStr">
        <is>
          <t>Upload pub, stats impressions, export PDF</t>
        </is>
      </c>
    </row>
    <row r="42">
      <c r="A42" s="6" t="n">
        <v>3</v>
      </c>
      <c r="B42" s="6" t="inlineStr">
        <is>
          <t>Portail Agence</t>
        </is>
      </c>
      <c r="C42" s="6" t="inlineStr">
        <is>
          <t>Produit cloud</t>
        </is>
      </c>
      <c r="D42" s="6" t="inlineStr">
        <is>
          <t>Agences pub</t>
        </is>
      </c>
      <c r="E42" s="6" t="inlineStr">
        <is>
          <t>HTTP + JWT</t>
        </is>
      </c>
      <c r="F42" s="6" t="inlineStr">
        <is>
          <t>OVS-2</t>
        </is>
      </c>
      <c r="G42" s="6" t="inlineStr">
        <is>
          <t>Multi-annonceurs, stats agrégées</t>
        </is>
      </c>
    </row>
    <row r="43">
      <c r="A43" s="6" t="n">
        <v>4</v>
      </c>
      <c r="B43" s="6" t="inlineStr">
        <is>
          <t>Télécommande</t>
        </is>
      </c>
      <c r="C43" s="6" t="inlineStr">
        <is>
          <t>Produit cloud+edge</t>
        </is>
      </c>
      <c r="D43" s="6" t="inlineStr">
        <is>
          <t>Staff club</t>
        </is>
      </c>
      <c r="E43" s="6" t="inlineStr">
        <is>
          <t>Socket.IO</t>
        </is>
      </c>
      <c r="F43" s="6" t="inlineStr">
        <is>
          <t>OVS-1</t>
        </is>
      </c>
      <c r="G43" s="6" t="inlineStr">
        <is>
          <t>Score, phases, timer, recording, vidéos</t>
        </is>
      </c>
    </row>
    <row r="44">
      <c r="A44" s="6" t="n">
        <v>5</v>
      </c>
      <c r="B44" s="6" t="inlineStr">
        <is>
          <t>TV Player</t>
        </is>
      </c>
      <c r="C44" s="6" t="inlineStr">
        <is>
          <t>Produit edge</t>
        </is>
      </c>
      <c r="D44" s="6" t="inlineStr">
        <is>
          <t>Spectateurs</t>
        </is>
      </c>
      <c r="E44" s="6" t="inlineStr">
        <is>
          <t>Socket.IO local</t>
        </is>
      </c>
      <c r="F44" s="6" t="inlineStr">
        <is>
          <t>OVS-1, OVS-2</t>
        </is>
      </c>
      <c r="G44" s="6" t="inlineStr">
        <is>
          <t>Double-buffer, overlay 6 sports, watermark</t>
        </is>
      </c>
    </row>
    <row r="45">
      <c r="A45" s="6" t="n">
        <v>6</v>
      </c>
      <c r="B45" s="6" t="inlineStr">
        <is>
          <t>Admin Panel Pi</t>
        </is>
      </c>
      <c r="C45" s="6" t="inlineStr">
        <is>
          <t>Produit edge</t>
        </is>
      </c>
      <c r="D45" s="6" t="inlineStr">
        <is>
          <t>Staff + Tech</t>
        </is>
      </c>
      <c r="E45" s="6" t="inlineStr">
        <is>
          <t>HTTP local</t>
        </is>
      </c>
      <c r="F45" s="6" t="inlineStr">
        <is>
          <t>OVS-1</t>
        </is>
      </c>
      <c r="G45" s="6" t="inlineStr">
        <is>
          <t>Club/Tech mode, upload local, debug</t>
        </is>
      </c>
    </row>
    <row r="46">
      <c r="A46" s="6" t="n">
        <v>7</v>
      </c>
      <c r="B46" s="6" t="inlineStr">
        <is>
          <t>Central Server API</t>
        </is>
      </c>
      <c r="C46" s="6" t="inlineStr">
        <is>
          <t>Infra cloud</t>
        </is>
      </c>
      <c r="D46" s="6" t="inlineStr">
        <is>
          <t>Machines</t>
        </is>
      </c>
      <c r="E46" s="6" t="inlineStr">
        <is>
          <t>REST + WebSocket</t>
        </is>
      </c>
      <c r="F46" s="6" t="inlineStr">
        <is>
          <t>DVS-1</t>
        </is>
      </c>
      <c r="G46" s="6" t="inlineStr">
        <is>
          <t>21 repos, 9 handlers, rate limiting</t>
        </is>
      </c>
    </row>
    <row r="47">
      <c r="A47" s="6" t="n">
        <v>8</v>
      </c>
      <c r="B47" s="6" t="inlineStr">
        <is>
          <t>Sync Agent</t>
        </is>
      </c>
      <c r="C47" s="6" t="inlineStr">
        <is>
          <t>Infra edge</t>
        </is>
      </c>
      <c r="D47" s="6" t="inlineStr">
        <is>
          <t>Système</t>
        </is>
      </c>
      <c r="E47" s="6" t="inlineStr">
        <is>
          <t>Socket.IO</t>
        </is>
      </c>
      <c r="F47" s="6" t="inlineStr">
        <is>
          <t>OVS-1, OVS-2</t>
        </is>
      </c>
      <c r="G47" s="6" t="inlineStr">
        <is>
          <t>Config sync, video download, analytics batch</t>
        </is>
      </c>
    </row>
    <row r="48">
      <c r="A48" s="6" t="n">
        <v>9</v>
      </c>
      <c r="B48" s="6" t="inlineStr">
        <is>
          <t>Pi Server Socket.IO</t>
        </is>
      </c>
      <c r="C48" s="6" t="inlineStr">
        <is>
          <t>Infra edge</t>
        </is>
      </c>
      <c r="D48" s="6" t="inlineStr">
        <is>
          <t>Télécommande, TV</t>
        </is>
      </c>
      <c r="E48" s="6" t="inlineStr">
        <is>
          <t>Socket.IO local</t>
        </is>
      </c>
      <c r="F48" s="6" t="inlineStr">
        <is>
          <t>OVS-1</t>
        </is>
      </c>
      <c r="G48" s="6" t="inlineStr">
        <is>
          <t>18 événements relay, score, phases</t>
        </is>
      </c>
    </row>
    <row r="49">
      <c r="A49" s="6" t="n">
        <v>10</v>
      </c>
      <c r="B49" s="6" t="inlineStr">
        <is>
          <t>Watchdogs (4)</t>
        </is>
      </c>
      <c r="C49" s="6" t="inlineStr">
        <is>
          <t>Infra edge</t>
        </is>
      </c>
      <c r="D49" s="6" t="inlineStr">
        <is>
          <t>Système</t>
        </is>
      </c>
      <c r="E49" s="6" t="inlineStr">
        <is>
          <t>Bash + systemd</t>
        </is>
      </c>
      <c r="F49" s="6" t="inlineStr">
        <is>
          <t>DVS-1</t>
        </is>
      </c>
      <c r="G49" s="6" t="inlineStr">
        <is>
          <t>Kiosk, sync-agent, network, hotspot</t>
        </is>
      </c>
    </row>
    <row r="50">
      <c r="A50" s="6" t="n">
        <v>11</v>
      </c>
      <c r="B50" s="6" t="inlineStr">
        <is>
          <t>Monitoring</t>
        </is>
      </c>
      <c r="C50" s="6" t="inlineStr">
        <is>
          <t>Ops</t>
        </is>
      </c>
      <c r="D50" s="6" t="inlineStr">
        <is>
          <t>Support</t>
        </is>
      </c>
      <c r="E50" s="6" t="inlineStr">
        <is>
          <t>Prometheus + Grafana</t>
        </is>
      </c>
      <c r="F50" s="6" t="inlineStr">
        <is>
          <t>DVS-1</t>
        </is>
      </c>
      <c r="G50" s="6" t="inlineStr">
        <is>
          <t>30+ métriques, 18 seuils, 3 dashboards</t>
        </is>
      </c>
    </row>
    <row r="51">
      <c r="A51" s="6" t="n">
        <v>12</v>
      </c>
      <c r="B51" s="6" t="inlineStr">
        <is>
          <t>Toolbox Déploiement</t>
        </is>
      </c>
      <c r="C51" s="6" t="inlineStr">
        <is>
          <t>Ops</t>
        </is>
      </c>
      <c r="D51" s="6" t="inlineStr">
        <is>
          <t>Techniciens</t>
        </is>
      </c>
      <c r="E51" s="6" t="inlineStr">
        <is>
          <t>Bash + SSH</t>
        </is>
      </c>
      <c r="F51" s="6" t="inlineStr">
        <is>
          <t>OVS-1</t>
        </is>
      </c>
      <c r="G51" s="6" t="inlineStr">
        <is>
          <t>Golden image, setup, diagnostic, backup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3" customWidth="1" min="1" max="1"/>
    <col width="41" customWidth="1" min="2" max="2"/>
    <col width="29" customWidth="1" min="3" max="3"/>
    <col width="24" customWidth="1" min="4" max="4"/>
    <col width="28" customWidth="1" min="5" max="5"/>
    <col width="10" customWidth="1" min="6" max="6"/>
    <col width="10" customWidth="1" min="7" max="7"/>
    <col width="50" customWidth="1" min="8" max="8"/>
    <col width="13" customWidth="1" min="9" max="9"/>
    <col width="16" customWidth="1" min="10" max="10"/>
    <col width="18" customWidth="1" min="11" max="11"/>
    <col width="10" customWidth="1" min="12" max="12"/>
  </cols>
  <sheetData>
    <row r="1">
      <c r="A1" s="12" t="inlineStr">
        <is>
          <t>← Dashboard</t>
        </is>
      </c>
      <c r="B1" s="12" t="inlineStr">
        <is>
          <t>← Dashboard</t>
        </is>
      </c>
    </row>
    <row r="2"/>
    <row r="3">
      <c r="A3" s="5" t="inlineStr">
        <is>
          <t>Epic ID</t>
        </is>
      </c>
      <c r="B3" s="5" t="inlineStr">
        <is>
          <t>Name</t>
        </is>
      </c>
      <c r="C3" s="5" t="inlineStr">
        <is>
          <t>VS</t>
        </is>
      </c>
      <c r="D3" s="5" t="inlineStr">
        <is>
          <t>Theme</t>
        </is>
      </c>
      <c r="E3" s="5" t="inlineStr">
        <is>
          <t>WSJF</t>
        </is>
      </c>
      <c r="F3" s="5" t="inlineStr">
        <is>
          <t>PI</t>
        </is>
      </c>
      <c r="G3" s="5" t="inlineStr">
        <is>
          <t>Status</t>
        </is>
      </c>
      <c r="H3" s="5" t="inlineStr">
        <is>
          <t>Cost (SP)</t>
        </is>
      </c>
      <c r="I3" s="5" t="inlineStr">
        <is>
          <t>Benefit (€)</t>
        </is>
      </c>
      <c r="J3" s="5" t="inlineStr">
        <is>
          <t>Business Value</t>
        </is>
      </c>
      <c r="K3" s="5" t="inlineStr">
        <is>
          <t>Time Criticality</t>
        </is>
      </c>
      <c r="L3" s="5" t="inlineStr">
        <is>
          <t>Job Size</t>
        </is>
      </c>
    </row>
    <row r="4">
      <c r="A4" s="4" t="inlineStr">
        <is>
          <t>E-01</t>
        </is>
      </c>
      <c r="B4" s="4" t="inlineStr">
        <is>
          <t>Portail Sponsor Self-Service</t>
        </is>
      </c>
      <c r="C4" s="4" t="inlineStr">
        <is>
          <t>VS2 - Sponsor to Impression</t>
        </is>
      </c>
      <c r="D4" s="4" t="inlineStr">
        <is>
          <t>TS1 - Monétisation</t>
        </is>
      </c>
      <c r="E4" s="4">
        <f>IF(L4=0,0,(J4+K4)/L4)</f>
        <v/>
      </c>
      <c r="F4" s="4" t="inlineStr">
        <is>
          <t>PI-1</t>
        </is>
      </c>
      <c r="G4" s="4" t="inlineStr">
        <is>
          <t>Backlog</t>
        </is>
      </c>
      <c r="H4" s="4">
        <f>SUMIF('Features &amp; US'!A:A,A4,'Features &amp; US'!E:E)</f>
        <v/>
      </c>
      <c r="I4" s="4" t="n"/>
      <c r="J4" s="4" t="n">
        <v>5</v>
      </c>
      <c r="K4" s="4" t="n">
        <v>8</v>
      </c>
      <c r="L4" s="4" t="n">
        <v>1</v>
      </c>
    </row>
    <row r="5">
      <c r="A5" s="4" t="inlineStr">
        <is>
          <t>E-02</t>
        </is>
      </c>
      <c r="B5" s="4" t="inlineStr">
        <is>
          <t>Rotation Sponsors</t>
        </is>
      </c>
      <c r="C5" s="4" t="inlineStr">
        <is>
          <t>VS2 - Sponsor to Impression</t>
        </is>
      </c>
      <c r="D5" s="4" t="inlineStr">
        <is>
          <t>TS1 - Monétisation</t>
        </is>
      </c>
      <c r="E5" s="4">
        <f>IF(L5=0,0,(J5+K5)/L5)</f>
        <v/>
      </c>
      <c r="F5" s="4" t="inlineStr">
        <is>
          <t>PI-1</t>
        </is>
      </c>
      <c r="G5" s="4" t="inlineStr">
        <is>
          <t>Backlog</t>
        </is>
      </c>
      <c r="H5" s="4">
        <f>SUMIF('Features &amp; US'!A:A,A5,'Features &amp; US'!E:E)</f>
        <v/>
      </c>
      <c r="I5" s="4" t="n"/>
      <c r="J5" s="4" t="n">
        <v>5</v>
      </c>
      <c r="K5" s="4" t="n">
        <v>5</v>
      </c>
      <c r="L5" s="4" t="n">
        <v>1</v>
      </c>
    </row>
    <row r="6">
      <c r="A6" s="4" t="inlineStr">
        <is>
          <t>E-03</t>
        </is>
      </c>
      <c r="B6" s="4" t="inlineStr">
        <is>
          <t>Analytics Sponsors Avancé</t>
        </is>
      </c>
      <c r="C6" s="4" t="inlineStr">
        <is>
          <t>VS2 - Sponsor to Impression</t>
        </is>
      </c>
      <c r="D6" s="4" t="inlineStr">
        <is>
          <t>TS1 - Monétisation</t>
        </is>
      </c>
      <c r="E6" s="4">
        <f>IF(L6=0,0,(J6+K6)/L6)</f>
        <v/>
      </c>
      <c r="F6" s="4" t="inlineStr">
        <is>
          <t>PI-1</t>
        </is>
      </c>
      <c r="G6" s="4" t="inlineStr">
        <is>
          <t>Backlog</t>
        </is>
      </c>
      <c r="H6" s="4">
        <f>SUMIF('Features &amp; US'!A:A,A6,'Features &amp; US'!E:E)</f>
        <v/>
      </c>
      <c r="I6" s="4" t="n"/>
      <c r="J6" s="4" t="n">
        <v>8</v>
      </c>
      <c r="K6" s="4" t="n">
        <v>13</v>
      </c>
      <c r="L6" s="4" t="n">
        <v>1</v>
      </c>
    </row>
    <row r="7">
      <c r="A7" s="4" t="inlineStr">
        <is>
          <t>E-04</t>
        </is>
      </c>
      <c r="B7" s="4" t="inlineStr">
        <is>
          <t>Profils Config Match</t>
        </is>
      </c>
      <c r="C7" s="4" t="inlineStr">
        <is>
          <t>VS1 - Club to Screen</t>
        </is>
      </c>
      <c r="D7" s="4" t="inlineStr">
        <is>
          <t>TS2 - Expérience Match</t>
        </is>
      </c>
      <c r="E7" s="4">
        <f>IF(L7=0,0,(J7+K7)/L7)</f>
        <v/>
      </c>
      <c r="F7" s="4" t="inlineStr">
        <is>
          <t>PI-1</t>
        </is>
      </c>
      <c r="G7" s="13" t="inlineStr">
        <is>
          <t>Terminé</t>
        </is>
      </c>
      <c r="H7" s="4">
        <f>SUMIF('Features &amp; US'!A:A,A7,'Features &amp; US'!E:E)</f>
        <v/>
      </c>
      <c r="I7" s="4" t="n"/>
      <c r="J7" s="4" t="n">
        <v>3</v>
      </c>
      <c r="K7" s="4" t="n">
        <v>5</v>
      </c>
      <c r="L7" s="4" t="n">
        <v>1</v>
      </c>
    </row>
    <row r="8">
      <c r="A8" s="4" t="inlineStr">
        <is>
          <t>E-06</t>
        </is>
      </c>
      <c r="B8" s="4" t="inlineStr">
        <is>
          <t>Onboarding Automatisé</t>
        </is>
      </c>
      <c r="C8" s="4" t="inlineStr">
        <is>
          <t>VS1 - Club to Screen</t>
        </is>
      </c>
      <c r="D8" s="4" t="inlineStr">
        <is>
          <t>TS3 - Acquisition</t>
        </is>
      </c>
      <c r="E8" s="4">
        <f>IF(L8=0,0,(J8+K8)/L8)</f>
        <v/>
      </c>
      <c r="F8" s="4" t="inlineStr">
        <is>
          <t>PI-1</t>
        </is>
      </c>
      <c r="G8" s="4" t="inlineStr">
        <is>
          <t>Backlog</t>
        </is>
      </c>
      <c r="H8" s="4">
        <f>SUMIF('Features &amp; US'!A:A,A8,'Features &amp; US'!E:E)</f>
        <v/>
      </c>
      <c r="I8" s="4" t="n"/>
      <c r="J8" s="4" t="n">
        <v>5</v>
      </c>
      <c r="K8" s="4" t="n">
        <v>8</v>
      </c>
      <c r="L8" s="4" t="n">
        <v>2</v>
      </c>
    </row>
    <row r="9">
      <c r="A9" s="4" t="inlineStr">
        <is>
          <t>E-07</t>
        </is>
      </c>
      <c r="B9" s="4" t="inlineStr">
        <is>
          <t>Résilience WiFi V2</t>
        </is>
      </c>
      <c r="C9" s="4" t="inlineStr">
        <is>
          <t>VS1 - Club to Screen</t>
        </is>
      </c>
      <c r="D9" s="4" t="inlineStr">
        <is>
          <t>TS3 - Acquisition</t>
        </is>
      </c>
      <c r="E9" s="4">
        <f>IF(L9=0,0,(J9+K9)/L9)</f>
        <v/>
      </c>
      <c r="F9" s="4" t="inlineStr">
        <is>
          <t>PI-1</t>
        </is>
      </c>
      <c r="G9" s="14" t="inlineStr">
        <is>
          <t>En cours</t>
        </is>
      </c>
      <c r="H9" s="4">
        <f>SUMIF('Features &amp; US'!A:A,A9,'Features &amp; US'!E:E)</f>
        <v/>
      </c>
      <c r="I9" s="4" t="n"/>
      <c r="J9" s="4" t="n">
        <v>8</v>
      </c>
      <c r="K9" s="4" t="n">
        <v>13</v>
      </c>
      <c r="L9" s="4" t="n">
        <v>1</v>
      </c>
    </row>
    <row r="10">
      <c r="A10" s="4" t="inlineStr">
        <is>
          <t>E-08</t>
        </is>
      </c>
      <c r="B10" s="4" t="inlineStr">
        <is>
          <t>Alertes Prédictives</t>
        </is>
      </c>
      <c r="C10" s="4" t="inlineStr">
        <is>
          <t>Transverse</t>
        </is>
      </c>
      <c r="D10" s="4" t="inlineStr">
        <is>
          <t>TS4 - Excellence Ops</t>
        </is>
      </c>
      <c r="E10" s="4">
        <f>IF(L10=0,0,(J10+K10)/L10)</f>
        <v/>
      </c>
      <c r="F10" s="4" t="inlineStr">
        <is>
          <t>PI-1</t>
        </is>
      </c>
      <c r="G10" s="13" t="inlineStr">
        <is>
          <t>Terminé</t>
        </is>
      </c>
      <c r="H10" s="4">
        <f>SUMIF('Features &amp; US'!A:A,A10,'Features &amp; US'!E:E)</f>
        <v/>
      </c>
      <c r="I10" s="4" t="n"/>
      <c r="J10" s="4" t="n">
        <v>5</v>
      </c>
      <c r="K10" s="4" t="n">
        <v>8</v>
      </c>
      <c r="L10" s="4" t="n">
        <v>1</v>
      </c>
    </row>
    <row r="11">
      <c r="A11" s="4" t="inlineStr">
        <is>
          <t>E-09</t>
        </is>
      </c>
      <c r="B11" s="4" t="inlineStr">
        <is>
          <t>Architecture Audit</t>
        </is>
      </c>
      <c r="C11" s="4" t="inlineStr">
        <is>
          <t>Transverse</t>
        </is>
      </c>
      <c r="D11" s="4" t="inlineStr">
        <is>
          <t>TS4 - Excellence Ops</t>
        </is>
      </c>
      <c r="E11" s="4">
        <f>IF(L11=0,0,(J11+K11)/L11)</f>
        <v/>
      </c>
      <c r="F11" s="4" t="inlineStr">
        <is>
          <t>PI-1</t>
        </is>
      </c>
      <c r="G11" s="13" t="inlineStr">
        <is>
          <t>Terminé</t>
        </is>
      </c>
      <c r="H11" s="4">
        <f>SUMIF('Features &amp; US'!A:A,A11,'Features &amp; US'!E:E)</f>
        <v/>
      </c>
      <c r="I11" s="4" t="n"/>
      <c r="J11" s="4" t="n">
        <v>5</v>
      </c>
      <c r="K11" s="4" t="n">
        <v>5</v>
      </c>
      <c r="L11" s="4" t="n">
        <v>1</v>
      </c>
    </row>
    <row r="12">
      <c r="A12" s="4" t="inlineStr">
        <is>
          <t>E-10</t>
        </is>
      </c>
      <c r="B12" s="4" t="inlineStr">
        <is>
          <t>Monitoring Fleet</t>
        </is>
      </c>
      <c r="C12" s="4" t="inlineStr">
        <is>
          <t>Transverse</t>
        </is>
      </c>
      <c r="D12" s="4" t="inlineStr">
        <is>
          <t>TS4 - Excellence Ops</t>
        </is>
      </c>
      <c r="E12" s="4">
        <f>IF(L12=0,0,(J12+K12)/L12)</f>
        <v/>
      </c>
      <c r="F12" s="4" t="inlineStr">
        <is>
          <t>PI-1</t>
        </is>
      </c>
      <c r="G12" s="14" t="inlineStr">
        <is>
          <t>En cours</t>
        </is>
      </c>
      <c r="H12" s="4">
        <f>SUMIF('Features &amp; US'!A:A,A12,'Features &amp; US'!E:E)</f>
        <v/>
      </c>
      <c r="I12" s="4" t="n"/>
      <c r="J12" s="4" t="n">
        <v>8</v>
      </c>
      <c r="K12" s="4" t="n">
        <v>13</v>
      </c>
      <c r="L12" s="4" t="n">
        <v>2</v>
      </c>
    </row>
    <row r="13">
      <c r="A13" s="4" t="inlineStr">
        <is>
          <t>E-05</t>
        </is>
      </c>
      <c r="B13" s="4" t="inlineStr">
        <is>
          <t>Motion Design Personnalisé</t>
        </is>
      </c>
      <c r="C13" s="4" t="inlineStr">
        <is>
          <t>VS2 - Sponsor to Impression</t>
        </is>
      </c>
      <c r="D13" s="4" t="inlineStr">
        <is>
          <t>TS2 - Expérience Match</t>
        </is>
      </c>
      <c r="E13" s="4">
        <f>IF(L13=0,0,(J13+K13)/L13)</f>
        <v/>
      </c>
      <c r="F13" s="4" t="inlineStr">
        <is>
          <t>PI-2</t>
        </is>
      </c>
      <c r="G13" s="4" t="inlineStr">
        <is>
          <t>Backlog</t>
        </is>
      </c>
      <c r="H13" s="4">
        <f>SUMIF('Features &amp; US'!A:A,A13,'Features &amp; US'!E:E)</f>
        <v/>
      </c>
      <c r="I13" s="4" t="n"/>
      <c r="J13" s="4" t="n">
        <v>5</v>
      </c>
      <c r="K13" s="4" t="n">
        <v>5</v>
      </c>
      <c r="L13" s="4" t="n">
        <v>1</v>
      </c>
    </row>
    <row r="14">
      <c r="A14" s="4" t="inlineStr">
        <is>
          <t>E-11</t>
        </is>
      </c>
      <c r="B14" s="4" t="inlineStr">
        <is>
          <t>Régie Publicitaire Régionale</t>
        </is>
      </c>
      <c r="C14" s="4" t="inlineStr">
        <is>
          <t>VS2 - Sponsor to Impression</t>
        </is>
      </c>
      <c r="D14" s="4" t="inlineStr">
        <is>
          <t>TS1 - Monétisation</t>
        </is>
      </c>
      <c r="E14" s="4">
        <f>IF(L14=0,0,(J14+K14)/L14)</f>
        <v/>
      </c>
      <c r="F14" s="4" t="inlineStr">
        <is>
          <t>PI-2</t>
        </is>
      </c>
      <c r="G14" s="4" t="inlineStr">
        <is>
          <t>Backlog</t>
        </is>
      </c>
      <c r="H14" s="4">
        <f>SUMIF('Features &amp; US'!A:A,A14,'Features &amp; US'!E:E)</f>
        <v/>
      </c>
      <c r="I14" s="4" t="n"/>
      <c r="J14" s="4" t="n">
        <v>3</v>
      </c>
      <c r="K14" s="4" t="n">
        <v>5</v>
      </c>
      <c r="L14" s="4" t="n">
        <v>1</v>
      </c>
    </row>
    <row r="15">
      <c r="A15" s="4" t="inlineStr">
        <is>
          <t>E-15</t>
        </is>
      </c>
      <c r="B15" s="4" t="inlineStr">
        <is>
          <t>Score en Live Phase 2 (API Fédérations)</t>
        </is>
      </c>
      <c r="C15" s="4" t="inlineStr">
        <is>
          <t>VS1 - Club to Screen</t>
        </is>
      </c>
      <c r="D15" s="4" t="inlineStr">
        <is>
          <t>TS2 - Expérience Match</t>
        </is>
      </c>
      <c r="E15" s="4">
        <f>IF(L15=0,0,(J15+K15)/L15)</f>
        <v/>
      </c>
      <c r="F15" s="4" t="inlineStr">
        <is>
          <t>PI-2</t>
        </is>
      </c>
      <c r="G15" s="4" t="inlineStr">
        <is>
          <t>Backlog</t>
        </is>
      </c>
      <c r="H15" s="4">
        <f>SUMIF('Features &amp; US'!A:A,A15,'Features &amp; US'!E:E)</f>
        <v/>
      </c>
      <c r="I15" s="4" t="n"/>
      <c r="J15" s="4" t="n">
        <v>3</v>
      </c>
      <c r="K15" s="4" t="n">
        <v>5</v>
      </c>
      <c r="L15" s="4" t="n">
        <v>1</v>
      </c>
    </row>
    <row r="16">
      <c r="A16" s="4" t="inlineStr">
        <is>
          <t>E-16</t>
        </is>
      </c>
      <c r="B16" s="4" t="inlineStr">
        <is>
          <t>Rapports Email Automatiques</t>
        </is>
      </c>
      <c r="C16" s="4" t="inlineStr">
        <is>
          <t>Transverse</t>
        </is>
      </c>
      <c r="D16" s="4" t="inlineStr">
        <is>
          <t>TS4 - Excellence Ops</t>
        </is>
      </c>
      <c r="E16" s="4">
        <f>IF(L16=0,0,(J16+K16)/L16)</f>
        <v/>
      </c>
      <c r="F16" s="4" t="inlineStr">
        <is>
          <t>PI-2</t>
        </is>
      </c>
      <c r="G16" s="4" t="inlineStr">
        <is>
          <t>Backlog</t>
        </is>
      </c>
      <c r="H16" s="4">
        <f>SUMIF('Features &amp; US'!A:A,A16,'Features &amp; US'!E:E)</f>
        <v/>
      </c>
      <c r="I16" s="4" t="n"/>
      <c r="J16" s="4" t="n">
        <v>2</v>
      </c>
      <c r="K16" s="4" t="n">
        <v>5</v>
      </c>
      <c r="L16" s="4" t="n">
        <v>2</v>
      </c>
    </row>
    <row r="17">
      <c r="A17" s="4" t="inlineStr">
        <is>
          <t>E-17</t>
        </is>
      </c>
      <c r="B17" s="4" t="inlineStr">
        <is>
          <t>A/B Testing Créas Sponsors</t>
        </is>
      </c>
      <c r="C17" s="4" t="inlineStr">
        <is>
          <t>VS2 - Sponsor to Impression</t>
        </is>
      </c>
      <c r="D17" s="4" t="inlineStr">
        <is>
          <t>TS1 - Monétisation</t>
        </is>
      </c>
      <c r="E17" s="4">
        <f>IF(L17=0,0,(J17+K17)/L17)</f>
        <v/>
      </c>
      <c r="F17" s="4" t="inlineStr">
        <is>
          <t>PI-2</t>
        </is>
      </c>
      <c r="G17" s="4" t="inlineStr">
        <is>
          <t>Backlog</t>
        </is>
      </c>
      <c r="H17" s="4">
        <f>SUMIF('Features &amp; US'!A:A,A17,'Features &amp; US'!E:E)</f>
        <v/>
      </c>
      <c r="I17" s="4" t="n"/>
      <c r="J17" s="4" t="n">
        <v>2</v>
      </c>
      <c r="K17" s="4" t="n">
        <v>3</v>
      </c>
      <c r="L17" s="4" t="n">
        <v>1</v>
      </c>
    </row>
    <row r="18">
      <c r="A18" s="4" t="inlineStr">
        <is>
          <t>E-12</t>
        </is>
      </c>
      <c r="B18" s="4" t="inlineStr">
        <is>
          <t>Multi-Écrans Synchronisés</t>
        </is>
      </c>
      <c r="C18" s="4" t="inlineStr">
        <is>
          <t>VS1 - Club to Screen</t>
        </is>
      </c>
      <c r="D18" s="4" t="inlineStr">
        <is>
          <t>TS2 - Expérience Match</t>
        </is>
      </c>
      <c r="E18" s="4">
        <f>IF(L18=0,0,(J18+K18)/L18)</f>
        <v/>
      </c>
      <c r="F18" s="4" t="inlineStr">
        <is>
          <t>PI-3</t>
        </is>
      </c>
      <c r="G18" s="4" t="inlineStr">
        <is>
          <t>Backlog</t>
        </is>
      </c>
      <c r="H18" s="4">
        <f>SUMIF('Features &amp; US'!A:A,A18,'Features &amp; US'!E:E)</f>
        <v/>
      </c>
      <c r="I18" s="4" t="n"/>
      <c r="J18" s="4" t="n">
        <v>2</v>
      </c>
      <c r="K18" s="4" t="n">
        <v>3</v>
      </c>
      <c r="L18" s="4" t="n">
        <v>1</v>
      </c>
    </row>
    <row r="19">
      <c r="A19" s="4" t="inlineStr">
        <is>
          <t>E-13</t>
        </is>
      </c>
      <c r="B19" s="4" t="inlineStr">
        <is>
          <t>Marque Blanche Club</t>
        </is>
      </c>
      <c r="C19" s="4" t="inlineStr">
        <is>
          <t>VS1 - Club to Screen</t>
        </is>
      </c>
      <c r="D19" s="4" t="inlineStr">
        <is>
          <t>TS2 - Expérience Match</t>
        </is>
      </c>
      <c r="E19" s="4">
        <f>IF(L19=0,0,(J19+K19)/L19)</f>
        <v/>
      </c>
      <c r="F19" s="4" t="inlineStr">
        <is>
          <t>PI-3</t>
        </is>
      </c>
      <c r="G19" s="4" t="inlineStr">
        <is>
          <t>Backlog</t>
        </is>
      </c>
      <c r="H19" s="4">
        <f>SUMIF('Features &amp; US'!A:A,A19,'Features &amp; US'!E:E)</f>
        <v/>
      </c>
      <c r="I19" s="4" t="n"/>
      <c r="J19" s="4" t="n">
        <v>3</v>
      </c>
      <c r="K19" s="4" t="n">
        <v>5</v>
      </c>
      <c r="L19" s="4" t="n">
        <v>1</v>
      </c>
    </row>
    <row r="20">
      <c r="A20" s="4" t="inlineStr">
        <is>
          <t>E-14</t>
        </is>
      </c>
      <c r="B20" s="4" t="inlineStr">
        <is>
          <t>Fonds de Solidarité Sport</t>
        </is>
      </c>
      <c r="C20" s="4" t="inlineStr">
        <is>
          <t>Transverse</t>
        </is>
      </c>
      <c r="D20" s="4" t="inlineStr">
        <is>
          <t>TS3 - Acquisition</t>
        </is>
      </c>
      <c r="E20" s="4">
        <f>IF(L20=0,0,(J20+K20)/L20)</f>
        <v/>
      </c>
      <c r="F20" s="4" t="inlineStr">
        <is>
          <t>PI-3</t>
        </is>
      </c>
      <c r="G20" s="4" t="inlineStr">
        <is>
          <t>Backlog</t>
        </is>
      </c>
      <c r="H20" s="4">
        <f>SUMIF('Features &amp; US'!A:A,A20,'Features &amp; US'!E:E)</f>
        <v/>
      </c>
      <c r="I20" s="4" t="n"/>
      <c r="J20" s="4" t="n">
        <v>3</v>
      </c>
      <c r="K20" s="4" t="n">
        <v>5</v>
      </c>
      <c r="L20" s="4" t="n">
        <v>2</v>
      </c>
    </row>
    <row r="21">
      <c r="A21" s="4" t="inlineStr">
        <is>
          <t>E-18</t>
        </is>
      </c>
      <c r="B21" s="4" t="inlineStr">
        <is>
          <t>Intégrations Billetterie</t>
        </is>
      </c>
      <c r="C21" s="4" t="inlineStr">
        <is>
          <t>VS1 - Club to Screen</t>
        </is>
      </c>
      <c r="D21" s="4" t="inlineStr">
        <is>
          <t>TS2 - Expérience Match</t>
        </is>
      </c>
      <c r="E21" s="4">
        <f>IF(L21=0,0,(J21+K21)/L21)</f>
        <v/>
      </c>
      <c r="F21" s="4" t="inlineStr">
        <is>
          <t>PI-3</t>
        </is>
      </c>
      <c r="G21" s="4" t="inlineStr">
        <is>
          <t>Backlog</t>
        </is>
      </c>
      <c r="H21" s="4">
        <f>SUMIF('Features &amp; US'!A:A,A21,'Features &amp; US'!E:E)</f>
        <v/>
      </c>
      <c r="I21" s="4" t="n"/>
      <c r="J21" s="4" t="n">
        <v>2</v>
      </c>
      <c r="K21" s="4" t="n">
        <v>3</v>
      </c>
      <c r="L21" s="4" t="n">
        <v>1</v>
      </c>
    </row>
    <row r="22">
      <c r="A22" s="4" t="inlineStr">
        <is>
          <t>E-19</t>
        </is>
      </c>
      <c r="B22" s="4" t="inlineStr">
        <is>
          <t>Capteurs Présence Hardware</t>
        </is>
      </c>
      <c r="C22" s="4" t="inlineStr">
        <is>
          <t>VS1 - Club to Screen</t>
        </is>
      </c>
      <c r="D22" s="4" t="inlineStr">
        <is>
          <t>TS2 - Expérience Match</t>
        </is>
      </c>
      <c r="E22" s="4">
        <f>IF(L22=0,0,(J22+K22)/L22)</f>
        <v/>
      </c>
      <c r="F22" s="4" t="inlineStr">
        <is>
          <t>PI-3</t>
        </is>
      </c>
      <c r="G22" s="4" t="inlineStr">
        <is>
          <t>Backlog</t>
        </is>
      </c>
      <c r="H22" s="4">
        <f>SUMIF('Features &amp; US'!A:A,A22,'Features &amp; US'!E:E)</f>
        <v/>
      </c>
      <c r="I22" s="4" t="n"/>
      <c r="J22" s="4" t="n">
        <v>2</v>
      </c>
      <c r="K22" s="4" t="n">
        <v>2</v>
      </c>
      <c r="L22" s="4" t="n">
        <v>3</v>
      </c>
    </row>
    <row r="23">
      <c r="A23" s="4" t="inlineStr">
        <is>
          <t>E-20</t>
        </is>
      </c>
      <c r="B23" s="4" t="inlineStr">
        <is>
          <t>Analytics Prédictives ML</t>
        </is>
      </c>
      <c r="C23" s="4" t="inlineStr">
        <is>
          <t>Transverse</t>
        </is>
      </c>
      <c r="D23" s="4" t="inlineStr">
        <is>
          <t>TS4 - Excellence Ops</t>
        </is>
      </c>
      <c r="E23" s="4">
        <f>IF(L23=0,0,(J23+K23)/L23)</f>
        <v/>
      </c>
      <c r="F23" s="4" t="inlineStr">
        <is>
          <t>PI-3</t>
        </is>
      </c>
      <c r="G23" s="4" t="inlineStr">
        <is>
          <t>Backlog</t>
        </is>
      </c>
      <c r="H23" s="4">
        <f>SUMIF('Features &amp; US'!A:A,A23,'Features &amp; US'!E:E)</f>
        <v/>
      </c>
      <c r="I23" s="4" t="n"/>
      <c r="J23" s="4" t="n">
        <v>2</v>
      </c>
      <c r="K23" s="4" t="n">
        <v>3</v>
      </c>
      <c r="L23" s="4" t="n">
        <v>1</v>
      </c>
    </row>
    <row r="24">
      <c r="A24" s="4" t="inlineStr">
        <is>
          <t>E-21</t>
        </is>
      </c>
      <c r="B24" s="4" t="inlineStr">
        <is>
          <t>API Partenaires OAuth</t>
        </is>
      </c>
      <c r="C24" s="4" t="inlineStr">
        <is>
          <t>Transverse</t>
        </is>
      </c>
      <c r="D24" s="4" t="inlineStr">
        <is>
          <t>TS1 - Monétisation</t>
        </is>
      </c>
      <c r="E24" s="4">
        <f>IF(L24=0,0,(J24+K24)/L24)</f>
        <v/>
      </c>
      <c r="F24" s="4" t="inlineStr">
        <is>
          <t>PI-3</t>
        </is>
      </c>
      <c r="G24" s="4" t="inlineStr">
        <is>
          <t>Backlog</t>
        </is>
      </c>
      <c r="H24" s="4">
        <f>SUMIF('Features &amp; US'!A:A,A24,'Features &amp; US'!E:E)</f>
        <v/>
      </c>
      <c r="I24" s="4" t="n"/>
      <c r="J24" s="4" t="n">
        <v>2</v>
      </c>
      <c r="K24" s="4" t="n">
        <v>3</v>
      </c>
      <c r="L24" s="4" t="n">
        <v>1</v>
      </c>
    </row>
    <row r="25">
      <c r="A25" s="4" t="inlineStr">
        <is>
          <t>E-22</t>
        </is>
      </c>
      <c r="B25" s="4" t="inlineStr">
        <is>
          <t>Contenus Différenciés TV+LED</t>
        </is>
      </c>
      <c r="C25" s="4" t="inlineStr">
        <is>
          <t>VS1 - Club to Screen</t>
        </is>
      </c>
      <c r="D25" s="4" t="inlineStr">
        <is>
          <t>TS2 - Expérience Match</t>
        </is>
      </c>
      <c r="E25" s="4">
        <f>IF(L25=0,0,(J25+K25)/L25)</f>
        <v/>
      </c>
      <c r="F25" s="4" t="inlineStr">
        <is>
          <t>PI-2</t>
        </is>
      </c>
      <c r="G25" s="4" t="inlineStr">
        <is>
          <t>Backlog</t>
        </is>
      </c>
      <c r="H25" s="4">
        <f>SUMIF('Features &amp; US'!A:A,A25,'Features &amp; US'!E:E)</f>
        <v/>
      </c>
      <c r="I25" s="4" t="n"/>
      <c r="J25" s="4" t="n">
        <v>4</v>
      </c>
      <c r="K25" s="4" t="n">
        <v>5</v>
      </c>
      <c r="L25" s="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50" customWidth="1" min="3" max="3"/>
    <col width="46" customWidth="1" min="4" max="4"/>
    <col width="50" customWidth="1" min="5" max="5"/>
    <col width="10" customWidth="1" min="6" max="6"/>
    <col width="10" customWidth="1" min="7" max="7"/>
    <col width="10" customWidth="1" min="8" max="8"/>
    <col width="23" customWidth="1" min="9" max="9"/>
    <col width="10" customWidth="1" min="10" max="10"/>
  </cols>
  <sheetData>
    <row r="1">
      <c r="A1" s="12" t="inlineStr">
        <is>
          <t>← Dashboard</t>
        </is>
      </c>
      <c r="B1" s="12" t="inlineStr">
        <is>
          <t>← Dashboard</t>
        </is>
      </c>
    </row>
    <row r="2"/>
    <row r="3">
      <c r="A3" s="2" t="inlineStr">
        <is>
          <t>FEATURE BACKLOG</t>
        </is>
      </c>
    </row>
    <row r="4">
      <c r="A4" s="5" t="inlineStr">
        <is>
          <t>Epic</t>
        </is>
      </c>
      <c r="B4" s="5" t="inlineStr">
        <is>
          <t>Feature ID</t>
        </is>
      </c>
      <c r="C4" s="5" t="inlineStr">
        <is>
          <t>Feature</t>
        </is>
      </c>
      <c r="D4" s="5" t="inlineStr">
        <is>
          <t>US Count</t>
        </is>
      </c>
      <c r="E4" s="5" t="inlineStr">
        <is>
          <t>SP</t>
        </is>
      </c>
      <c r="F4" s="5" t="inlineStr">
        <is>
          <t>Priority</t>
        </is>
      </c>
      <c r="G4" s="5" t="inlineStr">
        <is>
          <t>Statut</t>
        </is>
      </c>
      <c r="H4" s="5" t="inlineStr">
        <is>
          <t>Notes</t>
        </is>
      </c>
      <c r="I4" s="5" t="inlineStr">
        <is>
          <t>PI</t>
        </is>
      </c>
      <c r="J4" s="5" t="inlineStr">
        <is>
          <t>Sprint</t>
        </is>
      </c>
    </row>
    <row r="5">
      <c r="A5" s="2" t="inlineStr">
        <is>
          <t>PI-1 (Jan-Mar 2025)</t>
        </is>
      </c>
    </row>
    <row r="6">
      <c r="A6" s="4" t="inlineStr">
        <is>
          <t>E-01</t>
        </is>
      </c>
      <c r="B6" s="4" t="inlineStr">
        <is>
          <t>F-01.1</t>
        </is>
      </c>
      <c r="C6" s="4" t="inlineStr">
        <is>
          <t>Inscription et profil sponsor</t>
        </is>
      </c>
      <c r="D6" s="4">
        <f>COUNTIF('User Stories'!B:B,B6)</f>
        <v/>
      </c>
      <c r="E6" s="4">
        <f>SUMIF('User Stories'!B:B,B6,'User Stories'!E:E)</f>
        <v/>
      </c>
      <c r="F6" s="4" t="n">
        <v>1</v>
      </c>
      <c r="G6" s="4" t="inlineStr">
        <is>
          <t>Backlog</t>
        </is>
      </c>
      <c r="H6" s="4" t="inlineStr"/>
      <c r="I6" s="4" t="inlineStr">
        <is>
          <t>PI-1 (Jan-Mar 2025)</t>
        </is>
      </c>
      <c r="J6" s="4" t="inlineStr">
        <is>
          <t>S6</t>
        </is>
      </c>
    </row>
    <row r="7">
      <c r="A7" s="4" t="inlineStr">
        <is>
          <t>E-01</t>
        </is>
      </c>
      <c r="B7" s="4" t="inlineStr">
        <is>
          <t>F-01.2</t>
        </is>
      </c>
      <c r="C7" s="4" t="inlineStr">
        <is>
          <t>Upload vidéo sponsor</t>
        </is>
      </c>
      <c r="D7" s="4">
        <f>COUNTIF('User Stories'!B:B,B7)</f>
        <v/>
      </c>
      <c r="E7" s="4">
        <f>SUMIF('User Stories'!B:B,B7,'User Stories'!E:E)</f>
        <v/>
      </c>
      <c r="F7" s="4" t="n">
        <v>1</v>
      </c>
      <c r="G7" s="4" t="inlineStr">
        <is>
          <t>Backlog</t>
        </is>
      </c>
      <c r="H7" s="4" t="inlineStr"/>
      <c r="I7" s="4" t="inlineStr">
        <is>
          <t>PI-1 (Jan-Mar 2025)</t>
        </is>
      </c>
      <c r="J7" s="4" t="inlineStr">
        <is>
          <t>S5</t>
        </is>
      </c>
    </row>
    <row r="8">
      <c r="A8" s="4" t="inlineStr">
        <is>
          <t>E-01</t>
        </is>
      </c>
      <c r="B8" s="4" t="inlineStr">
        <is>
          <t>F-01.3</t>
        </is>
      </c>
      <c r="C8" s="4" t="inlineStr">
        <is>
          <t>Validation admin des spots</t>
        </is>
      </c>
      <c r="D8" s="4">
        <f>COUNTIF('User Stories'!B:B,B8)</f>
        <v/>
      </c>
      <c r="E8" s="4">
        <f>SUMIF('User Stories'!B:B,B8,'User Stories'!E:E)</f>
        <v/>
      </c>
      <c r="F8" s="4" t="n">
        <v>1</v>
      </c>
      <c r="G8" s="4" t="inlineStr">
        <is>
          <t>Backlog</t>
        </is>
      </c>
      <c r="H8" s="4" t="inlineStr"/>
      <c r="I8" s="4" t="inlineStr">
        <is>
          <t>PI-1 (Jan-Mar 2025)</t>
        </is>
      </c>
      <c r="J8" s="4" t="inlineStr">
        <is>
          <t>S5</t>
        </is>
      </c>
    </row>
    <row r="9">
      <c r="A9" s="4" t="inlineStr">
        <is>
          <t>E-02</t>
        </is>
      </c>
      <c r="B9" s="4" t="inlineStr">
        <is>
          <t>F-02.1</t>
        </is>
      </c>
      <c r="C9" s="4" t="inlineStr">
        <is>
          <t>Algorithme de rotation équitable</t>
        </is>
      </c>
      <c r="D9" s="4">
        <f>COUNTIF('User Stories'!B:B,B9)</f>
        <v/>
      </c>
      <c r="E9" s="4">
        <f>SUMIF('User Stories'!B:B,B9,'User Stories'!E:E)</f>
        <v/>
      </c>
      <c r="F9" s="4" t="n">
        <v>1</v>
      </c>
      <c r="G9" s="4" t="inlineStr">
        <is>
          <t>Backlog</t>
        </is>
      </c>
      <c r="H9" s="4" t="inlineStr"/>
      <c r="I9" s="4" t="inlineStr">
        <is>
          <t>PI-1 (Jan-Mar 2025)</t>
        </is>
      </c>
      <c r="J9" s="4" t="inlineStr">
        <is>
          <t>S5</t>
        </is>
      </c>
    </row>
    <row r="10">
      <c r="A10" s="4" t="inlineStr">
        <is>
          <t>E-03</t>
        </is>
      </c>
      <c r="B10" s="4" t="inlineStr">
        <is>
          <t>F-03.1</t>
        </is>
      </c>
      <c r="C10" s="4" t="inlineStr">
        <is>
          <t>Dashboard impressions sponsor</t>
        </is>
      </c>
      <c r="D10" s="4">
        <f>COUNTIF('User Stories'!B:B,B10)</f>
        <v/>
      </c>
      <c r="E10" s="4">
        <f>SUMIF('User Stories'!B:B,B10,'User Stories'!E:E)</f>
        <v/>
      </c>
      <c r="F10" s="4" t="n">
        <v>1</v>
      </c>
      <c r="G10" s="4" t="inlineStr">
        <is>
          <t>Backlog</t>
        </is>
      </c>
      <c r="H10" s="4" t="inlineStr"/>
      <c r="I10" s="4" t="inlineStr">
        <is>
          <t>PI-1 (Jan-Mar 2025)</t>
        </is>
      </c>
      <c r="J10" s="4" t="inlineStr">
        <is>
          <t>S6</t>
        </is>
      </c>
    </row>
    <row r="11">
      <c r="A11" s="4" t="inlineStr">
        <is>
          <t>E-03</t>
        </is>
      </c>
      <c r="B11" s="4" t="inlineStr">
        <is>
          <t>F-03.2</t>
        </is>
      </c>
      <c r="C11" s="4" t="inlineStr">
        <is>
          <t>Export rapport PDF/CSV</t>
        </is>
      </c>
      <c r="D11" s="4">
        <f>COUNTIF('User Stories'!B:B,B11)</f>
        <v/>
      </c>
      <c r="E11" s="4">
        <f>SUMIF('User Stories'!B:B,B11,'User Stories'!E:E)</f>
        <v/>
      </c>
      <c r="F11" s="4" t="n">
        <v>1</v>
      </c>
      <c r="G11" s="4" t="inlineStr">
        <is>
          <t>Backlog</t>
        </is>
      </c>
      <c r="H11" s="4" t="inlineStr"/>
      <c r="I11" s="4" t="inlineStr">
        <is>
          <t>PI-1 (Jan-Mar 2025)</t>
        </is>
      </c>
      <c r="J11" s="4" t="inlineStr">
        <is>
          <t>S6</t>
        </is>
      </c>
    </row>
    <row r="12">
      <c r="A12" s="4" t="inlineStr">
        <is>
          <t>E-04</t>
        </is>
      </c>
      <c r="B12" s="4" t="inlineStr">
        <is>
          <t>F-04.1</t>
        </is>
      </c>
      <c r="C12" s="4" t="inlineStr">
        <is>
          <t>Création de profils prédéfinis</t>
        </is>
      </c>
      <c r="D12" s="4">
        <f>COUNTIF('User Stories'!B:B,B12)</f>
        <v/>
      </c>
      <c r="E12" s="4">
        <f>SUMIF('User Stories'!B:B,B12,'User Stories'!E:E)</f>
        <v/>
      </c>
      <c r="F12" s="4" t="n">
        <v>1</v>
      </c>
      <c r="G12" s="13" t="inlineStr">
        <is>
          <t>Terminé</t>
        </is>
      </c>
      <c r="H12" s="4" t="inlineStr"/>
      <c r="I12" s="4" t="inlineStr">
        <is>
          <t>PI-1 (Jan-Mar 2025)</t>
        </is>
      </c>
      <c r="J12" s="4" t="inlineStr">
        <is>
          <t>S2</t>
        </is>
      </c>
    </row>
    <row r="13">
      <c r="A13" s="4" t="inlineStr">
        <is>
          <t>E-04</t>
        </is>
      </c>
      <c r="B13" s="4" t="inlineStr">
        <is>
          <t>F-04.2</t>
        </is>
      </c>
      <c r="C13" s="4" t="inlineStr">
        <is>
          <t>Switch depuis la télécommande</t>
        </is>
      </c>
      <c r="D13" s="4">
        <f>COUNTIF('User Stories'!B:B,B13)</f>
        <v/>
      </c>
      <c r="E13" s="4">
        <f>SUMIF('User Stories'!B:B,B13,'User Stories'!E:E)</f>
        <v/>
      </c>
      <c r="F13" s="4" t="n">
        <v>1</v>
      </c>
      <c r="G13" s="13" t="inlineStr">
        <is>
          <t>Terminé</t>
        </is>
      </c>
      <c r="H13" s="4" t="inlineStr"/>
      <c r="I13" s="4" t="inlineStr">
        <is>
          <t>PI-1 (Jan-Mar 2025)</t>
        </is>
      </c>
      <c r="J13" s="4" t="inlineStr">
        <is>
          <t>S3</t>
        </is>
      </c>
    </row>
    <row r="14">
      <c r="A14" s="4" t="inlineStr">
        <is>
          <t>E-05</t>
        </is>
      </c>
      <c r="B14" s="4" t="inlineStr">
        <is>
          <t>F-05.1</t>
        </is>
      </c>
      <c r="C14" s="4" t="inlineStr">
        <is>
          <t>Bibliothèque de templates motion design</t>
        </is>
      </c>
      <c r="D14" s="4">
        <f>COUNTIF('User Stories'!B:B,B14)</f>
        <v/>
      </c>
      <c r="E14" s="4">
        <f>SUMIF('User Stories'!B:B,B14,'User Stories'!E:E)</f>
        <v/>
      </c>
      <c r="F14" s="4" t="n">
        <v>1</v>
      </c>
      <c r="G14" s="4" t="inlineStr">
        <is>
          <t>Backlog</t>
        </is>
      </c>
      <c r="H14" s="4" t="inlineStr"/>
      <c r="I14" s="4" t="inlineStr">
        <is>
          <t>PI-1 (Jan-Mar 2025)</t>
        </is>
      </c>
      <c r="J14" s="4" t="inlineStr">
        <is>
          <t>S6</t>
        </is>
      </c>
    </row>
    <row r="15">
      <c r="A15" s="4" t="inlineStr">
        <is>
          <t>E-06</t>
        </is>
      </c>
      <c r="B15" s="4" t="inlineStr">
        <is>
          <t>F-06.1</t>
        </is>
      </c>
      <c r="C15" s="4" t="inlineStr">
        <is>
          <t>Auto-provisioning Pi</t>
        </is>
      </c>
      <c r="D15" s="4">
        <f>COUNTIF('User Stories'!B:B,B15)</f>
        <v/>
      </c>
      <c r="E15" s="4">
        <f>SUMIF('User Stories'!B:B,B15,'User Stories'!E:E)</f>
        <v/>
      </c>
      <c r="F15" s="4" t="n">
        <v>1</v>
      </c>
      <c r="G15" s="4" t="inlineStr">
        <is>
          <t>Backlog</t>
        </is>
      </c>
      <c r="H15" s="4" t="inlineStr"/>
      <c r="I15" s="4" t="inlineStr">
        <is>
          <t>PI-1 (Jan-Mar 2025)</t>
        </is>
      </c>
      <c r="J15" s="4" t="inlineStr">
        <is>
          <t>S5</t>
        </is>
      </c>
    </row>
    <row r="16">
      <c r="A16" s="4" t="inlineStr">
        <is>
          <t>E-06</t>
        </is>
      </c>
      <c r="B16" s="4" t="inlineStr">
        <is>
          <t>F-06.2</t>
        </is>
      </c>
      <c r="C16" s="4" t="inlineStr">
        <is>
          <t>Wizard de configuration club</t>
        </is>
      </c>
      <c r="D16" s="4">
        <f>COUNTIF('User Stories'!B:B,B16)</f>
        <v/>
      </c>
      <c r="E16" s="4">
        <f>SUMIF('User Stories'!B:B,B16,'User Stories'!E:E)</f>
        <v/>
      </c>
      <c r="F16" s="4" t="n">
        <v>1</v>
      </c>
      <c r="G16" s="4" t="inlineStr">
        <is>
          <t>Backlog</t>
        </is>
      </c>
      <c r="H16" s="4" t="inlineStr"/>
      <c r="I16" s="4" t="inlineStr">
        <is>
          <t>PI-1 (Jan-Mar 2025)</t>
        </is>
      </c>
      <c r="J16" s="4" t="inlineStr">
        <is>
          <t>S6</t>
        </is>
      </c>
    </row>
    <row r="17">
      <c r="A17" s="4" t="inlineStr">
        <is>
          <t>E-07</t>
        </is>
      </c>
      <c r="B17" s="4" t="inlineStr">
        <is>
          <t>F-07.1</t>
        </is>
      </c>
      <c r="C17" s="4" t="inlineStr">
        <is>
          <t>Cache local étendu (48h)</t>
        </is>
      </c>
      <c r="D17" s="4">
        <f>COUNTIF('User Stories'!B:B,B17)</f>
        <v/>
      </c>
      <c r="E17" s="4">
        <f>SUMIF('User Stories'!B:B,B17,'User Stories'!E:E)</f>
        <v/>
      </c>
      <c r="F17" s="4" t="n">
        <v>1</v>
      </c>
      <c r="G17" s="13" t="inlineStr">
        <is>
          <t>Terminé</t>
        </is>
      </c>
      <c r="H17" s="4" t="inlineStr"/>
      <c r="I17" s="4" t="inlineStr">
        <is>
          <t>PI-1 (Jan-Mar 2025)</t>
        </is>
      </c>
      <c r="J17" s="4" t="inlineStr">
        <is>
          <t>S4</t>
        </is>
      </c>
    </row>
    <row r="18">
      <c r="A18" s="4" t="inlineStr">
        <is>
          <t>E-07</t>
        </is>
      </c>
      <c r="B18" s="4" t="inlineStr">
        <is>
          <t>F-07.2</t>
        </is>
      </c>
      <c r="C18" s="4" t="inlineStr">
        <is>
          <t>Monitoring signal WiFi</t>
        </is>
      </c>
      <c r="D18" s="4">
        <f>COUNTIF('User Stories'!B:B,B18)</f>
        <v/>
      </c>
      <c r="E18" s="4">
        <f>SUMIF('User Stories'!B:B,B18,'User Stories'!E:E)</f>
        <v/>
      </c>
      <c r="F18" s="4" t="n">
        <v>1</v>
      </c>
      <c r="G18" s="13" t="inlineStr">
        <is>
          <t>Terminé</t>
        </is>
      </c>
      <c r="H18" s="4" t="inlineStr"/>
      <c r="I18" s="4" t="inlineStr">
        <is>
          <t>PI-1 (Jan-Mar 2025)</t>
        </is>
      </c>
      <c r="J18" s="4" t="inlineStr">
        <is>
          <t>S2</t>
        </is>
      </c>
    </row>
    <row r="19">
      <c r="A19" s="4" t="inlineStr">
        <is>
          <t>E-08</t>
        </is>
      </c>
      <c r="B19" s="4" t="inlineStr">
        <is>
          <t>F-08.1</t>
        </is>
      </c>
      <c r="C19" s="4" t="inlineStr">
        <is>
          <t>Règles d'alertes prédictives</t>
        </is>
      </c>
      <c r="D19" s="4">
        <f>COUNTIF('User Stories'!B:B,B19)</f>
        <v/>
      </c>
      <c r="E19" s="4">
        <f>SUMIF('User Stories'!B:B,B19,'User Stories'!E:E)</f>
        <v/>
      </c>
      <c r="F19" s="4" t="n">
        <v>1</v>
      </c>
      <c r="G19" s="13" t="inlineStr">
        <is>
          <t>Terminé</t>
        </is>
      </c>
      <c r="H19" s="4" t="inlineStr"/>
      <c r="I19" s="4" t="inlineStr">
        <is>
          <t>PI-1 (Jan-Mar 2025)</t>
        </is>
      </c>
      <c r="J19" s="4" t="inlineStr">
        <is>
          <t>S2</t>
        </is>
      </c>
    </row>
    <row r="20">
      <c r="A20" s="4" t="inlineStr">
        <is>
          <t>E-08</t>
        </is>
      </c>
      <c r="B20" s="4" t="inlineStr">
        <is>
          <t>F-08.2</t>
        </is>
      </c>
      <c r="C20" s="4" t="inlineStr">
        <is>
          <t>Dashboard tendances</t>
        </is>
      </c>
      <c r="D20" s="4">
        <f>COUNTIF('User Stories'!B:B,B20)</f>
        <v/>
      </c>
      <c r="E20" s="4">
        <f>SUMIF('User Stories'!B:B,B20,'User Stories'!E:E)</f>
        <v/>
      </c>
      <c r="F20" s="4" t="n">
        <v>1</v>
      </c>
      <c r="G20" s="13" t="inlineStr">
        <is>
          <t>Terminé</t>
        </is>
      </c>
      <c r="H20" s="4" t="inlineStr"/>
      <c r="I20" s="4" t="inlineStr">
        <is>
          <t>PI-1 (Jan-Mar 2025)</t>
        </is>
      </c>
      <c r="J20" s="4" t="inlineStr">
        <is>
          <t>S3</t>
        </is>
      </c>
    </row>
    <row r="21">
      <c r="A21" s="4" t="inlineStr">
        <is>
          <t>E-09</t>
        </is>
      </c>
      <c r="B21" s="4" t="inlineStr">
        <is>
          <t>F-09.1</t>
        </is>
      </c>
      <c r="C21" s="4" t="inlineStr">
        <is>
          <t>Migration controllers vers repository pattern</t>
        </is>
      </c>
      <c r="D21" s="4">
        <f>COUNTIF('User Stories'!B:B,B21)</f>
        <v/>
      </c>
      <c r="E21" s="4">
        <f>SUMIF('User Stories'!B:B,B21,'User Stories'!E:E)</f>
        <v/>
      </c>
      <c r="F21" s="4" t="n">
        <v>1</v>
      </c>
      <c r="G21" s="13" t="inlineStr">
        <is>
          <t>Terminé</t>
        </is>
      </c>
      <c r="H21" s="4" t="inlineStr"/>
      <c r="I21" s="4" t="inlineStr">
        <is>
          <t>PI-1 (Jan-Mar 2025)</t>
        </is>
      </c>
      <c r="J21" s="4" t="inlineStr">
        <is>
          <t>S4</t>
        </is>
      </c>
    </row>
    <row r="22">
      <c r="A22" s="4" t="inlineStr">
        <is>
          <t>E-09</t>
        </is>
      </c>
      <c r="B22" s="4" t="inlineStr">
        <is>
          <t>F-09.2</t>
        </is>
      </c>
      <c r="C22" s="4" t="inlineStr">
        <is>
          <t>Audit sécurité et performance</t>
        </is>
      </c>
      <c r="D22" s="4">
        <f>COUNTIF('User Stories'!B:B,B22)</f>
        <v/>
      </c>
      <c r="E22" s="4">
        <f>SUMIF('User Stories'!B:B,B22,'User Stories'!E:E)</f>
        <v/>
      </c>
      <c r="F22" s="4" t="n">
        <v>1</v>
      </c>
      <c r="G22" s="13" t="inlineStr">
        <is>
          <t>Terminé</t>
        </is>
      </c>
      <c r="H22" s="4" t="inlineStr"/>
      <c r="I22" s="4" t="inlineStr">
        <is>
          <t>PI-1 (Jan-Mar 2025)</t>
        </is>
      </c>
      <c r="J22" s="4" t="inlineStr">
        <is>
          <t>S1</t>
        </is>
      </c>
    </row>
    <row r="23">
      <c r="A23" s="4" t="inlineStr">
        <is>
          <t>E-10</t>
        </is>
      </c>
      <c r="B23" s="4" t="inlineStr">
        <is>
          <t>F-10.1</t>
        </is>
      </c>
      <c r="C23" s="4" t="inlineStr">
        <is>
          <t>Carte de la flotte (Leaflet)</t>
        </is>
      </c>
      <c r="D23" s="4">
        <f>COUNTIF('User Stories'!B:B,B23)</f>
        <v/>
      </c>
      <c r="E23" s="4">
        <f>SUMIF('User Stories'!B:B,B23,'User Stories'!E:E)</f>
        <v/>
      </c>
      <c r="F23" s="4" t="n">
        <v>1</v>
      </c>
      <c r="G23" s="4" t="inlineStr">
        <is>
          <t>Backlog</t>
        </is>
      </c>
      <c r="H23" s="4" t="inlineStr"/>
      <c r="I23" s="4" t="inlineStr">
        <is>
          <t>PI-1 (Jan-Mar 2025)</t>
        </is>
      </c>
      <c r="J23" s="4" t="inlineStr">
        <is>
          <t>S6</t>
        </is>
      </c>
    </row>
    <row r="24">
      <c r="A24" s="4" t="inlineStr">
        <is>
          <t>E-10</t>
        </is>
      </c>
      <c r="B24" s="4" t="inlineStr">
        <is>
          <t>F-10.2</t>
        </is>
      </c>
      <c r="C24" s="4" t="inlineStr">
        <is>
          <t>Métriques agrégées flotte</t>
        </is>
      </c>
      <c r="D24" s="4">
        <f>COUNTIF('User Stories'!B:B,B24)</f>
        <v/>
      </c>
      <c r="E24" s="4">
        <f>SUMIF('User Stories'!B:B,B24,'User Stories'!E:E)</f>
        <v/>
      </c>
      <c r="F24" s="4" t="n">
        <v>1</v>
      </c>
      <c r="G24" s="13" t="inlineStr">
        <is>
          <t>Terminé</t>
        </is>
      </c>
      <c r="H24" s="4" t="inlineStr"/>
      <c r="I24" s="4" t="inlineStr">
        <is>
          <t>PI-1 (Jan-Mar 2025)</t>
        </is>
      </c>
      <c r="J24" s="4" t="inlineStr">
        <is>
          <t>S1</t>
        </is>
      </c>
    </row>
    <row r="25">
      <c r="A25" s="4" t="inlineStr">
        <is>
          <t>E-11</t>
        </is>
      </c>
      <c r="B25" s="4" t="inlineStr">
        <is>
          <t>F-11.1</t>
        </is>
      </c>
      <c r="C25" s="4" t="inlineStr">
        <is>
          <t>Portail annonceur régional</t>
        </is>
      </c>
      <c r="D25" s="4">
        <f>COUNTIF('User Stories'!B:B,B25)</f>
        <v/>
      </c>
      <c r="E25" s="4">
        <f>SUMIF('User Stories'!B:B,B25,'User Stories'!E:E)</f>
        <v/>
      </c>
      <c r="F25" s="4" t="n">
        <v>1</v>
      </c>
      <c r="G25" s="4" t="inlineStr">
        <is>
          <t>Backlog</t>
        </is>
      </c>
      <c r="H25" s="4" t="inlineStr"/>
      <c r="I25" s="4" t="inlineStr">
        <is>
          <t>PI-1 (Jan-Mar 2025)</t>
        </is>
      </c>
      <c r="J25" s="4" t="inlineStr">
        <is>
          <t>S6</t>
        </is>
      </c>
    </row>
    <row r="26">
      <c r="A26" s="4" t="inlineStr">
        <is>
          <t>E-11</t>
        </is>
      </c>
      <c r="B26" s="4" t="inlineStr">
        <is>
          <t>F-11.2</t>
        </is>
      </c>
      <c r="C26" s="4" t="inlineStr">
        <is>
          <t>Reporting consolidé régie</t>
        </is>
      </c>
      <c r="D26" s="4">
        <f>COUNTIF('User Stories'!B:B,B26)</f>
        <v/>
      </c>
      <c r="E26" s="4">
        <f>SUMIF('User Stories'!B:B,B26,'User Stories'!E:E)</f>
        <v/>
      </c>
      <c r="F26" s="4" t="n">
        <v>1</v>
      </c>
      <c r="G26" s="4" t="inlineStr">
        <is>
          <t>Backlog</t>
        </is>
      </c>
      <c r="H26" s="4" t="inlineStr"/>
      <c r="I26" s="4" t="inlineStr">
        <is>
          <t>PI-1 (Jan-Mar 2025)</t>
        </is>
      </c>
      <c r="J26" s="4" t="inlineStr">
        <is>
          <t>S5</t>
        </is>
      </c>
    </row>
    <row r="27">
      <c r="A27" s="4" t="inlineStr">
        <is>
          <t>E-12</t>
        </is>
      </c>
      <c r="B27" s="4" t="inlineStr">
        <is>
          <t>F-12.1</t>
        </is>
      </c>
      <c r="C27" s="4" t="inlineStr">
        <is>
          <t>Synchronisation master/slave</t>
        </is>
      </c>
      <c r="D27" s="4">
        <f>COUNTIF('User Stories'!B:B,B27)</f>
        <v/>
      </c>
      <c r="E27" s="4">
        <f>SUMIF('User Stories'!B:B,B27,'User Stories'!E:E)</f>
        <v/>
      </c>
      <c r="F27" s="4" t="n">
        <v>1</v>
      </c>
      <c r="G27" s="4" t="inlineStr">
        <is>
          <t>Backlog</t>
        </is>
      </c>
      <c r="H27" s="4" t="inlineStr"/>
      <c r="I27" s="4" t="inlineStr">
        <is>
          <t>PI-1 (Jan-Mar 2025)</t>
        </is>
      </c>
      <c r="J27" s="4" t="inlineStr">
        <is>
          <t>S5</t>
        </is>
      </c>
    </row>
    <row r="28">
      <c r="A28" s="4" t="inlineStr">
        <is>
          <t>E-13</t>
        </is>
      </c>
      <c r="B28" s="4" t="inlineStr">
        <is>
          <t>F-13.1</t>
        </is>
      </c>
      <c r="C28" s="4" t="inlineStr">
        <is>
          <t>Thématisation par club</t>
        </is>
      </c>
      <c r="D28" s="4">
        <f>COUNTIF('User Stories'!B:B,B28)</f>
        <v/>
      </c>
      <c r="E28" s="4">
        <f>SUMIF('User Stories'!B:B,B28,'User Stories'!E:E)</f>
        <v/>
      </c>
      <c r="F28" s="4" t="n">
        <v>1</v>
      </c>
      <c r="G28" s="4" t="inlineStr">
        <is>
          <t>Backlog</t>
        </is>
      </c>
      <c r="H28" s="4" t="inlineStr"/>
      <c r="I28" s="4" t="inlineStr">
        <is>
          <t>PI-1 (Jan-Mar 2025)</t>
        </is>
      </c>
      <c r="J28" s="4" t="inlineStr">
        <is>
          <t>S5</t>
        </is>
      </c>
    </row>
    <row r="29">
      <c r="A29" s="4" t="inlineStr">
        <is>
          <t>E-16</t>
        </is>
      </c>
      <c r="B29" s="4" t="inlineStr">
        <is>
          <t>F-16.1</t>
        </is>
      </c>
      <c r="C29" s="4" t="inlineStr">
        <is>
          <t>Envoi automatique mensuel</t>
        </is>
      </c>
      <c r="D29" s="4">
        <f>COUNTIF('User Stories'!B:B,B29)</f>
        <v/>
      </c>
      <c r="E29" s="4">
        <f>SUMIF('User Stories'!B:B,B29,'User Stories'!E:E)</f>
        <v/>
      </c>
      <c r="F29" s="4" t="n">
        <v>1</v>
      </c>
      <c r="G29" s="4" t="inlineStr">
        <is>
          <t>Backlog</t>
        </is>
      </c>
      <c r="H29" s="4" t="inlineStr"/>
      <c r="I29" s="4" t="inlineStr">
        <is>
          <t>PI-1 (Jan-Mar 2025)</t>
        </is>
      </c>
      <c r="J29" s="4" t="inlineStr">
        <is>
          <t>S6</t>
        </is>
      </c>
    </row>
    <row r="30">
      <c r="A30" s="2" t="inlineStr">
        <is>
          <t>PI-2 (Avr-Jun 2025)</t>
        </is>
      </c>
    </row>
    <row r="31">
      <c r="A31" s="4" t="inlineStr">
        <is>
          <t>E-02</t>
        </is>
      </c>
      <c r="B31" s="4" t="inlineStr">
        <is>
          <t>F-02.2</t>
        </is>
      </c>
      <c r="C31" s="4" t="inlineStr">
        <is>
          <t>Configuration rotation par gymnase</t>
        </is>
      </c>
      <c r="D31" s="4">
        <f>COUNTIF('User Stories'!B:B,B31)</f>
        <v/>
      </c>
      <c r="E31" s="4">
        <f>SUMIF('User Stories'!B:B,B31,'User Stories'!E:E)</f>
        <v/>
      </c>
      <c r="F31" s="4" t="n">
        <v>2</v>
      </c>
      <c r="G31" s="4" t="inlineStr">
        <is>
          <t>Backlog</t>
        </is>
      </c>
      <c r="H31" s="4" t="inlineStr"/>
      <c r="I31" s="4" t="inlineStr">
        <is>
          <t>PI-2 (Avr-Jun 2025)</t>
        </is>
      </c>
      <c r="J31" s="4" t="inlineStr"/>
    </row>
    <row r="32">
      <c r="A32" s="4" t="inlineStr">
        <is>
          <t>E-03</t>
        </is>
      </c>
      <c r="B32" s="4" t="inlineStr">
        <is>
          <t>F-03.3</t>
        </is>
      </c>
      <c r="C32" s="4" t="inlineStr">
        <is>
          <t>Heatmap de diffusion</t>
        </is>
      </c>
      <c r="D32" s="4">
        <f>COUNTIF('User Stories'!B:B,B32)</f>
        <v/>
      </c>
      <c r="E32" s="4">
        <f>SUMIF('User Stories'!B:B,B32,'User Stories'!E:E)</f>
        <v/>
      </c>
      <c r="F32" s="4" t="n">
        <v>2</v>
      </c>
      <c r="G32" s="4" t="inlineStr">
        <is>
          <t>Backlog</t>
        </is>
      </c>
      <c r="H32" s="4" t="inlineStr"/>
      <c r="I32" s="4" t="inlineStr">
        <is>
          <t>PI-2 (Avr-Jun 2025)</t>
        </is>
      </c>
      <c r="J32" s="4" t="inlineStr"/>
    </row>
    <row r="33">
      <c r="A33" s="4" t="inlineStr">
        <is>
          <t>E-05</t>
        </is>
      </c>
      <c r="B33" s="4" t="inlineStr">
        <is>
          <t>F-05.2</t>
        </is>
      </c>
      <c r="C33" s="4" t="inlineStr">
        <is>
          <t>Upload d'animations custom (Lottie/MP4)</t>
        </is>
      </c>
      <c r="D33" s="4">
        <f>COUNTIF('User Stories'!B:B,B33)</f>
        <v/>
      </c>
      <c r="E33" s="4">
        <f>SUMIF('User Stories'!B:B,B33,'User Stories'!E:E)</f>
        <v/>
      </c>
      <c r="F33" s="4" t="n">
        <v>2</v>
      </c>
      <c r="G33" s="4" t="inlineStr">
        <is>
          <t>Backlog</t>
        </is>
      </c>
      <c r="H33" s="4" t="inlineStr"/>
      <c r="I33" s="4" t="inlineStr">
        <is>
          <t>PI-2 (Avr-Jun 2025)</t>
        </is>
      </c>
      <c r="J33" s="4" t="inlineStr"/>
    </row>
    <row r="34">
      <c r="A34" s="4" t="inlineStr">
        <is>
          <t>E-07</t>
        </is>
      </c>
      <c r="B34" s="4" t="inlineStr">
        <is>
          <t>F-07.3</t>
        </is>
      </c>
      <c r="C34" s="4" t="inlineStr">
        <is>
          <t>Support clé USB WiFi externe</t>
        </is>
      </c>
      <c r="D34" s="4">
        <f>COUNTIF('User Stories'!B:B,B34)</f>
        <v/>
      </c>
      <c r="E34" s="4">
        <f>SUMIF('User Stories'!B:B,B34,'User Stories'!E:E)</f>
        <v/>
      </c>
      <c r="F34" s="4" t="n">
        <v>2</v>
      </c>
      <c r="G34" s="4" t="inlineStr">
        <is>
          <t>Backlog</t>
        </is>
      </c>
      <c r="H34" s="4" t="inlineStr"/>
      <c r="I34" s="4" t="inlineStr">
        <is>
          <t>PI-2 (Avr-Jun 2025)</t>
        </is>
      </c>
      <c r="J34" s="4" t="inlineStr"/>
    </row>
    <row r="35">
      <c r="A35" s="4" t="inlineStr">
        <is>
          <t>E-14</t>
        </is>
      </c>
      <c r="B35" s="4" t="inlineStr">
        <is>
          <t>F-14.1</t>
        </is>
      </c>
      <c r="C35" s="4" t="inlineStr">
        <is>
          <t>Gestion du fonds</t>
        </is>
      </c>
      <c r="D35" s="4">
        <f>COUNTIF('User Stories'!B:B,B35)</f>
        <v/>
      </c>
      <c r="E35" s="4">
        <f>SUMIF('User Stories'!B:B,B35,'User Stories'!E:E)</f>
        <v/>
      </c>
      <c r="F35" s="4" t="n">
        <v>2</v>
      </c>
      <c r="G35" s="4" t="inlineStr">
        <is>
          <t>Backlog</t>
        </is>
      </c>
      <c r="H35" s="4" t="inlineStr"/>
      <c r="I35" s="4" t="inlineStr">
        <is>
          <t>PI-2 (Avr-Jun 2025)</t>
        </is>
      </c>
      <c r="J35" s="4" t="inlineStr"/>
    </row>
    <row r="36">
      <c r="A36" s="4" t="inlineStr">
        <is>
          <t>E-15</t>
        </is>
      </c>
      <c r="B36" s="4" t="inlineStr">
        <is>
          <t>F-15.1</t>
        </is>
      </c>
      <c r="C36" s="4" t="inlineStr">
        <is>
          <t>Intégration API fédérations sportives</t>
        </is>
      </c>
      <c r="D36" s="4">
        <f>COUNTIF('User Stories'!B:B,B36)</f>
        <v/>
      </c>
      <c r="E36" s="4">
        <f>SUMIF('User Stories'!B:B,B36,'User Stories'!E:E)</f>
        <v/>
      </c>
      <c r="F36" s="4" t="n">
        <v>4</v>
      </c>
      <c r="G36" s="4" t="inlineStr">
        <is>
          <t>Hold</t>
        </is>
      </c>
      <c r="H36" s="4" t="inlineStr"/>
      <c r="I36" s="4" t="inlineStr">
        <is>
          <t>PI-2 (Avr-Jun 2025)</t>
        </is>
      </c>
      <c r="J36" s="4" t="inlineStr"/>
    </row>
    <row r="37">
      <c r="A37" s="4" t="inlineStr">
        <is>
          <t>E-15</t>
        </is>
      </c>
      <c r="B37" s="4" t="inlineStr">
        <is>
          <t>F-15.2</t>
        </is>
      </c>
      <c r="C37" s="4" t="inlineStr">
        <is>
          <t>Lecture directe table de marque multi-constructeurs (Stramatel, Bodet, OCR)</t>
        </is>
      </c>
      <c r="D37" s="4">
        <f>COUNTIF('User Stories'!B:B,B37)</f>
        <v/>
      </c>
      <c r="E37" s="4">
        <f>SUMIF('User Stories'!B:B,B37,'User Stories'!E:E)</f>
        <v/>
      </c>
      <c r="F37" s="4" t="n">
        <v>1</v>
      </c>
      <c r="G37" s="4" t="inlineStr">
        <is>
          <t>Backlog</t>
        </is>
      </c>
      <c r="H37" s="4" t="inlineStr"/>
      <c r="I37" s="4" t="inlineStr">
        <is>
          <t>PI-2 (Avr-Mai 2026)</t>
        </is>
      </c>
      <c r="J37" s="4" t="inlineStr"/>
    </row>
    <row r="38">
      <c r="A38" s="4" t="inlineStr">
        <is>
          <t>E-17</t>
        </is>
      </c>
      <c r="B38" s="4" t="inlineStr">
        <is>
          <t>F-17.1</t>
        </is>
      </c>
      <c r="C38" s="4" t="inlineStr">
        <is>
          <t>Campagnes A/B Test</t>
        </is>
      </c>
      <c r="D38" s="4">
        <f>COUNTIF('User Stories'!B:B,B38)</f>
        <v/>
      </c>
      <c r="E38" s="4">
        <f>SUMIF('User Stories'!B:B,B38,'User Stories'!E:E)</f>
        <v/>
      </c>
      <c r="F38" s="4" t="n">
        <v>2</v>
      </c>
      <c r="G38" s="4" t="inlineStr">
        <is>
          <t>Backlog</t>
        </is>
      </c>
      <c r="H38" s="4" t="inlineStr"/>
      <c r="I38" s="4" t="inlineStr">
        <is>
          <t>PI-2 (Avr-Jun 2025)</t>
        </is>
      </c>
      <c r="J38" s="4" t="inlineStr"/>
    </row>
    <row r="39">
      <c r="A39" s="4" t="inlineStr">
        <is>
          <t>E-18</t>
        </is>
      </c>
      <c r="B39" s="4" t="inlineStr">
        <is>
          <t>F-18.1</t>
        </is>
      </c>
      <c r="C39" s="4" t="inlineStr">
        <is>
          <t>Audience réelle via billetterie</t>
        </is>
      </c>
      <c r="D39" s="4">
        <f>COUNTIF('User Stories'!B:B,B39)</f>
        <v/>
      </c>
      <c r="E39" s="4">
        <f>SUMIF('User Stories'!B:B,B39,'User Stories'!E:E)</f>
        <v/>
      </c>
      <c r="F39" s="4" t="n">
        <v>2</v>
      </c>
      <c r="G39" s="4" t="inlineStr">
        <is>
          <t>Backlog</t>
        </is>
      </c>
      <c r="H39" s="4" t="inlineStr"/>
      <c r="I39" s="4" t="inlineStr">
        <is>
          <t>PI-2 (Avr-Jun 2025)</t>
        </is>
      </c>
      <c r="J39" s="4" t="inlineStr"/>
    </row>
    <row r="40">
      <c r="A40" s="4" t="inlineStr">
        <is>
          <t>E-19</t>
        </is>
      </c>
      <c r="B40" s="4" t="inlineStr">
        <is>
          <t>F-19.1</t>
        </is>
      </c>
      <c r="C40" s="4" t="inlineStr">
        <is>
          <t>Comptage spectateurs automatique</t>
        </is>
      </c>
      <c r="D40" s="4">
        <f>COUNTIF('User Stories'!B:B,B40)</f>
        <v/>
      </c>
      <c r="E40" s="4">
        <f>SUMIF('User Stories'!B:B,B40,'User Stories'!E:E)</f>
        <v/>
      </c>
      <c r="F40" s="4" t="n">
        <v>3</v>
      </c>
      <c r="G40" s="4" t="inlineStr">
        <is>
          <t>Backlog</t>
        </is>
      </c>
      <c r="H40" s="4" t="inlineStr"/>
      <c r="I40" s="4" t="inlineStr">
        <is>
          <t>PI-2 (Avr-Jun 2025)</t>
        </is>
      </c>
      <c r="J40" s="4" t="inlineStr"/>
    </row>
    <row r="41">
      <c r="A41" s="4" t="inlineStr">
        <is>
          <t>E-20</t>
        </is>
      </c>
      <c r="B41" s="4" t="inlineStr">
        <is>
          <t>F-20.1</t>
        </is>
      </c>
      <c r="C41" s="4" t="inlineStr">
        <is>
          <t>Prédictions engagement et uptime</t>
        </is>
      </c>
      <c r="D41" s="4">
        <f>COUNTIF('User Stories'!B:B,B41)</f>
        <v/>
      </c>
      <c r="E41" s="4">
        <f>SUMIF('User Stories'!B:B,B41,'User Stories'!E:E)</f>
        <v/>
      </c>
      <c r="F41" s="4" t="n">
        <v>3</v>
      </c>
      <c r="G41" s="4" t="inlineStr">
        <is>
          <t>Backlog</t>
        </is>
      </c>
      <c r="H41" s="4" t="inlineStr"/>
      <c r="I41" s="4" t="inlineStr">
        <is>
          <t>PI-2 (Avr-Jun 2025)</t>
        </is>
      </c>
      <c r="J41" s="4" t="inlineStr"/>
    </row>
    <row r="42">
      <c r="A42" s="4" t="inlineStr">
        <is>
          <t>E-21</t>
        </is>
      </c>
      <c r="B42" s="4" t="inlineStr">
        <is>
          <t>F-21.1</t>
        </is>
      </c>
      <c r="C42" s="4" t="inlineStr">
        <is>
          <t>API OAuth 2.0 pour partenaires</t>
        </is>
      </c>
      <c r="D42" s="4">
        <f>COUNTIF('User Stories'!B:B,B42)</f>
        <v/>
      </c>
      <c r="E42" s="4">
        <f>SUMIF('User Stories'!B:B,B42,'User Stories'!E:E)</f>
        <v/>
      </c>
      <c r="F42" s="4" t="n">
        <v>3</v>
      </c>
      <c r="G42" s="4" t="inlineStr">
        <is>
          <t>Backlog</t>
        </is>
      </c>
      <c r="H42" s="4" t="inlineStr"/>
      <c r="I42" s="4" t="inlineStr">
        <is>
          <t>PI-2 (Avr-Jun 2025)</t>
        </is>
      </c>
      <c r="J42" s="4" t="inlineStr"/>
    </row>
    <row r="43">
      <c r="A43" s="4" t="inlineStr">
        <is>
          <t>E-21</t>
        </is>
      </c>
      <c r="B43" s="4" t="inlineStr">
        <is>
          <t>F-21.2</t>
        </is>
      </c>
      <c r="C43" s="4" t="inlineStr">
        <is>
          <t>API publique Neopro Live Scores (REST + WebSocket + Webhooks)</t>
        </is>
      </c>
      <c r="D43" s="4">
        <f>COUNTIF('User Stories'!B:B,B43)</f>
        <v/>
      </c>
      <c r="E43" s="4">
        <f>SUMIF('User Stories'!B:B,B43,'User Stories'!E:E)</f>
        <v/>
      </c>
      <c r="F43" s="4" t="n">
        <v>2</v>
      </c>
      <c r="G43" s="4" t="inlineStr">
        <is>
          <t>Backlog</t>
        </is>
      </c>
      <c r="H43" s="4" t="inlineStr"/>
      <c r="I43" s="4" t="inlineStr">
        <is>
          <t>PI-3 (Juin-Juil 2026)</t>
        </is>
      </c>
      <c r="J43" s="4" t="inlineStr"/>
    </row>
    <row r="44">
      <c r="A44" s="4" t="inlineStr">
        <is>
          <t>E-22</t>
        </is>
      </c>
      <c r="B44" s="4" t="inlineStr">
        <is>
          <t>F-22.0</t>
        </is>
      </c>
      <c r="C44" s="4" t="inlineStr">
        <is>
          <t>Enabler — Validation hardware dual HDMI (spike)</t>
        </is>
      </c>
      <c r="D44" s="4">
        <f>COUNTIF('User Stories'!B:B,B44)</f>
        <v/>
      </c>
      <c r="E44" s="4">
        <f>SUMIF('User Stories'!B:B,B44,'User Stories'!E:E)</f>
        <v/>
      </c>
      <c r="F44" s="4" t="n">
        <v>1</v>
      </c>
      <c r="G44" s="4" t="inlineStr">
        <is>
          <t>Backlog</t>
        </is>
      </c>
      <c r="H44" s="4" t="inlineStr"/>
      <c r="I44" s="4" t="inlineStr">
        <is>
          <t>PI-2 (Avr-Jun 2026)</t>
        </is>
      </c>
      <c r="J44" s="4" t="inlineStr"/>
    </row>
    <row r="45">
      <c r="A45" s="4" t="inlineStr">
        <is>
          <t>E-22</t>
        </is>
      </c>
      <c r="B45" s="4" t="inlineStr">
        <is>
          <t>F-22.1</t>
        </is>
      </c>
      <c r="C45" s="4" t="inlineStr">
        <is>
          <t>Dual Kiosk HDMI natif</t>
        </is>
      </c>
      <c r="D45" s="4">
        <f>COUNTIF('User Stories'!B:B,B45)</f>
        <v/>
      </c>
      <c r="E45" s="4">
        <f>SUMIF('User Stories'!B:B,B45,'User Stories'!E:E)</f>
        <v/>
      </c>
      <c r="F45" s="4" t="n">
        <v>2</v>
      </c>
      <c r="G45" s="4" t="inlineStr">
        <is>
          <t>Backlog</t>
        </is>
      </c>
      <c r="H45" s="4" t="inlineStr"/>
      <c r="I45" s="4" t="inlineStr">
        <is>
          <t>PI-2 (Avr-Jun 2026)</t>
        </is>
      </c>
      <c r="J45" s="4" t="inlineStr"/>
    </row>
    <row r="46">
      <c r="A46" s="4" t="inlineStr">
        <is>
          <t>E-22</t>
        </is>
      </c>
      <c r="B46" s="4" t="inlineStr">
        <is>
          <t>F-22.2</t>
        </is>
      </c>
      <c r="C46" s="4" t="inlineStr">
        <is>
          <t>Réactions différenciées TV vs LED</t>
        </is>
      </c>
      <c r="D46" s="4">
        <f>COUNTIF('User Stories'!B:B,B46)</f>
        <v/>
      </c>
      <c r="E46" s="4">
        <f>SUMIF('User Stories'!B:B,B46,'User Stories'!E:E)</f>
        <v/>
      </c>
      <c r="F46" s="4" t="n">
        <v>2</v>
      </c>
      <c r="G46" s="4" t="inlineStr">
        <is>
          <t>Backlog</t>
        </is>
      </c>
      <c r="H46" s="4" t="inlineStr"/>
      <c r="I46" s="4" t="inlineStr">
        <is>
          <t>PI-2 (Avr-Jun 2026)</t>
        </is>
      </c>
      <c r="J46" s="4" t="inlineStr"/>
    </row>
    <row r="47">
      <c r="A47" s="4" t="inlineStr">
        <is>
          <t>E-22</t>
        </is>
      </c>
      <c r="B47" s="4" t="inlineStr">
        <is>
          <t>F-22.3</t>
        </is>
      </c>
      <c r="C47" s="4" t="inlineStr">
        <is>
          <t>Variantes vidéo par type d'écran</t>
        </is>
      </c>
      <c r="D47" s="4">
        <f>COUNTIF('User Stories'!B:B,B47)</f>
        <v/>
      </c>
      <c r="E47" s="4">
        <f>SUMIF('User Stories'!B:B,B47,'User Stories'!E:E)</f>
        <v/>
      </c>
      <c r="F47" s="4" t="n">
        <v>2</v>
      </c>
      <c r="G47" s="4" t="inlineStr">
        <is>
          <t>Backlog</t>
        </is>
      </c>
      <c r="H47" s="4" t="inlineStr"/>
      <c r="I47" s="4" t="inlineStr">
        <is>
          <t>PI-2 (Avr-Jun 2026)</t>
        </is>
      </c>
      <c r="J47" s="4" t="inlineStr"/>
    </row>
    <row r="48"/>
    <row r="49">
      <c r="A49" s="2" t="inlineStr">
        <is>
          <t>SUMMARY</t>
        </is>
      </c>
    </row>
    <row r="50">
      <c r="A50" s="3" t="inlineStr">
        <is>
          <t>PI</t>
        </is>
      </c>
      <c r="B50" s="3" t="inlineStr">
        <is>
          <t>Features</t>
        </is>
      </c>
      <c r="C50" s="3" t="inlineStr">
        <is>
          <t>Total SP</t>
        </is>
      </c>
      <c r="D50" s="3" t="inlineStr">
        <is>
          <t>Terminé</t>
        </is>
      </c>
      <c r="E50" s="3" t="inlineStr">
        <is>
          <t>Backlog</t>
        </is>
      </c>
    </row>
    <row r="51">
      <c r="A51" s="4" t="inlineStr">
        <is>
          <t>PI-1 (Jan-Mar 2025)</t>
        </is>
      </c>
      <c r="B51" s="4">
        <f>COUNTIF(I6:I29,"PI-1*")</f>
        <v/>
      </c>
      <c r="C51" s="4">
        <f>SUMIF(I6:I29,"PI-1*",E6:E29)</f>
        <v/>
      </c>
      <c r="D51" s="4">
        <f>COUNTIFS(I6:I29,"PI-1*",G6:G29,"Terminé")</f>
        <v/>
      </c>
      <c r="E51" s="4">
        <f>COUNTIFS(I6:I29,"PI-1*",G6:G29,"Backlog")</f>
        <v/>
      </c>
    </row>
    <row r="52">
      <c r="A52" s="4" t="inlineStr">
        <is>
          <t>PI-2 (Avr-Jun 2025)</t>
        </is>
      </c>
      <c r="B52" s="4">
        <f>COUNTIF(I31:I47,"PI-2*")</f>
        <v/>
      </c>
      <c r="C52" s="4">
        <f>SUMIF(I31:I47,"PI-2*",E31:E47)</f>
        <v/>
      </c>
      <c r="D52" s="4">
        <f>COUNTIFS(I31:I47,"PI-2*",G31:G47,"Terminé")</f>
        <v/>
      </c>
      <c r="E52" s="4">
        <f>COUNTIFS(I31:I47,"PI-2*",G31:G47,"Backlog")</f>
        <v/>
      </c>
    </row>
    <row r="53">
      <c r="A53" s="4" t="inlineStr">
        <is>
          <t>PI-3 (Jul-Sep 2025)</t>
        </is>
      </c>
      <c r="B53" s="4" t="n">
        <v>0</v>
      </c>
      <c r="C53" s="4" t="n">
        <v>0</v>
      </c>
      <c r="D53" s="4" t="n">
        <v>0</v>
      </c>
      <c r="E53" s="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1" customWidth="1" min="1" max="1"/>
    <col width="47" customWidth="1" min="2" max="2"/>
    <col width="48" customWidth="1" min="3" max="3"/>
    <col width="42" customWidth="1" min="4" max="4"/>
    <col width="15" customWidth="1" min="5" max="5"/>
    <col width="45" customWidth="1" min="6" max="6"/>
    <col width="33" customWidth="1" min="7" max="7"/>
  </cols>
  <sheetData>
    <row r="1">
      <c r="A1" s="12" t="inlineStr">
        <is>
          <t>← Dashboard</t>
        </is>
      </c>
      <c r="B1" s="12" t="inlineStr">
        <is>
          <t>← Dashboard</t>
        </is>
      </c>
    </row>
    <row r="2"/>
    <row r="3">
      <c r="A3" s="2" t="inlineStr">
        <is>
          <t>OBJECTIFS PI</t>
        </is>
      </c>
    </row>
    <row r="4">
      <c r="A4" s="8" t="inlineStr">
        <is>
          <t>Objectif</t>
        </is>
      </c>
      <c r="B4" s="8" t="inlineStr">
        <is>
          <t>Type</t>
        </is>
      </c>
      <c r="C4" s="8" t="inlineStr">
        <is>
          <t>Description</t>
        </is>
      </c>
      <c r="D4" s="8" t="inlineStr">
        <is>
          <t>Valeur Métier</t>
        </is>
      </c>
      <c r="E4" s="8" t="inlineStr">
        <is>
          <t>Statut</t>
        </is>
      </c>
      <c r="F4" s="8" t="inlineStr">
        <is>
          <t>Notes / Features</t>
        </is>
      </c>
      <c r="G4" s="8" t="inlineStr">
        <is>
          <t>PI</t>
        </is>
      </c>
    </row>
    <row r="5">
      <c r="A5" s="2" t="inlineStr">
        <is>
          <t>PI-1 (Jan-Mar 2025)</t>
        </is>
      </c>
    </row>
    <row r="6">
      <c r="A6" s="4" t="inlineStr">
        <is>
          <t>O-PI1-1</t>
        </is>
      </c>
      <c r="B6" s="4" t="inlineStr">
        <is>
          <t>Engagé</t>
        </is>
      </c>
      <c r="C6" s="4" t="inlineStr">
        <is>
          <t>Lancer le portail sponsor self-service</t>
        </is>
      </c>
      <c r="D6" s="4" t="n">
        <v>9</v>
      </c>
      <c r="E6" s="4" t="inlineStr">
        <is>
          <t>À faire</t>
        </is>
      </c>
      <c r="F6" s="4" t="inlineStr">
        <is>
          <t>E-01: F-01.1, F-01.2, F-01.3</t>
        </is>
      </c>
      <c r="G6" s="4" t="inlineStr">
        <is>
          <t>PI-1</t>
        </is>
      </c>
    </row>
    <row r="7">
      <c r="A7" s="4" t="inlineStr">
        <is>
          <t>O-PI1-2</t>
        </is>
      </c>
      <c r="B7" s="4" t="inlineStr">
        <is>
          <t>Engagé</t>
        </is>
      </c>
      <c r="C7" s="4" t="inlineStr">
        <is>
          <t>Livrer les analytics sponsors avec rapport PDF</t>
        </is>
      </c>
      <c r="D7" s="4" t="n">
        <v>10</v>
      </c>
      <c r="E7" s="4" t="inlineStr">
        <is>
          <t>À faire</t>
        </is>
      </c>
      <c r="F7" s="4" t="inlineStr">
        <is>
          <t>E-03: F-03.1, F-03.2, F-03.3</t>
        </is>
      </c>
      <c r="G7" s="4" t="inlineStr">
        <is>
          <t>PI-1</t>
        </is>
      </c>
    </row>
    <row r="8">
      <c r="A8" s="4" t="inlineStr">
        <is>
          <t>O-PI1-3</t>
        </is>
      </c>
      <c r="B8" s="4" t="inlineStr">
        <is>
          <t>Engagé</t>
        </is>
      </c>
      <c r="C8" s="4" t="inlineStr">
        <is>
          <t>Implémenter la rotation sponsor équitable</t>
        </is>
      </c>
      <c r="D8" s="4" t="n">
        <v>8</v>
      </c>
      <c r="E8" s="4" t="inlineStr">
        <is>
          <t>À faire</t>
        </is>
      </c>
      <c r="F8" s="4" t="inlineStr">
        <is>
          <t>E-02: F-02.1, F-02.2</t>
        </is>
      </c>
      <c r="G8" s="4" t="inlineStr">
        <is>
          <t>PI-1</t>
        </is>
      </c>
    </row>
    <row r="9">
      <c r="A9" s="4" t="inlineStr">
        <is>
          <t>O-PI1-4</t>
        </is>
      </c>
      <c r="B9" s="4" t="inlineStr">
        <is>
          <t>Engagé</t>
        </is>
      </c>
      <c r="C9" s="4" t="inlineStr">
        <is>
          <t>Créer le wizard onboarding club</t>
        </is>
      </c>
      <c r="D9" s="4" t="n">
        <v>10</v>
      </c>
      <c r="E9" s="4" t="inlineStr">
        <is>
          <t>À faire</t>
        </is>
      </c>
      <c r="F9" s="4" t="inlineStr">
        <is>
          <t>E-06: F-06.1, F-06.2</t>
        </is>
      </c>
      <c r="G9" s="4" t="inlineStr">
        <is>
          <t>PI-1</t>
        </is>
      </c>
    </row>
    <row r="10">
      <c r="A10" s="4" t="inlineStr">
        <is>
          <t>O-PI1-5</t>
        </is>
      </c>
      <c r="B10" s="4" t="inlineStr">
        <is>
          <t>Étendu</t>
        </is>
      </c>
      <c r="C10" s="4" t="inlineStr">
        <is>
          <t>Carte de la flotte Leaflet</t>
        </is>
      </c>
      <c r="D10" s="4" t="n">
        <v>4</v>
      </c>
      <c r="E10" s="4" t="inlineStr">
        <is>
          <t>À faire</t>
        </is>
      </c>
      <c r="F10" s="4" t="inlineStr">
        <is>
          <t>E-10: F-10.1</t>
        </is>
      </c>
      <c r="G10" s="4" t="inlineStr">
        <is>
          <t>PI-1</t>
        </is>
      </c>
    </row>
    <row r="11">
      <c r="A11" s="2" t="inlineStr">
        <is>
          <t>PI-2 (Avr-Jun 2025)</t>
        </is>
      </c>
    </row>
    <row r="12">
      <c r="A12" s="4" t="inlineStr">
        <is>
          <t>O-PI2-1</t>
        </is>
      </c>
      <c r="B12" s="4" t="inlineStr">
        <is>
          <t>Étendu</t>
        </is>
      </c>
      <c r="C12" s="4" t="inlineStr">
        <is>
          <t>Support clé USB WiFi externe</t>
        </is>
      </c>
      <c r="D12" s="4" t="n">
        <v>3</v>
      </c>
      <c r="E12" s="4" t="inlineStr">
        <is>
          <t>À faire</t>
        </is>
      </c>
      <c r="F12" s="4" t="inlineStr">
        <is>
          <t>E-07: F-07.3</t>
        </is>
      </c>
      <c r="G12" s="4" t="inlineStr">
        <is>
          <t>PI-2</t>
        </is>
      </c>
    </row>
    <row r="13">
      <c r="A13" s="4" t="inlineStr">
        <is>
          <t>O-PI2-2</t>
        </is>
      </c>
      <c r="B13" s="4" t="inlineStr">
        <is>
          <t>Étendu</t>
        </is>
      </c>
      <c r="C13" s="4" t="inlineStr">
        <is>
          <t>Diffusion dynamique de publicités</t>
        </is>
      </c>
      <c r="D13" s="4" t="n">
        <v>8</v>
      </c>
      <c r="E13" s="4" t="inlineStr">
        <is>
          <t>En cours</t>
        </is>
      </c>
      <c r="F13" s="4" t="inlineStr">
        <is>
          <t>E-11: F-11.1, F-11.2</t>
        </is>
      </c>
      <c r="G13" s="4" t="inlineStr">
        <is>
          <t>PI-2</t>
        </is>
      </c>
    </row>
    <row r="14">
      <c r="A14" s="4" t="inlineStr">
        <is>
          <t>O-PI2-3</t>
        </is>
      </c>
      <c r="B14" s="4" t="inlineStr">
        <is>
          <t>Étendu</t>
        </is>
      </c>
      <c r="C14" s="4" t="inlineStr">
        <is>
          <t>Plateforme d'email marketing</t>
        </is>
      </c>
      <c r="D14" s="4" t="n">
        <v>7</v>
      </c>
      <c r="E14" s="4" t="inlineStr">
        <is>
          <t>À faire</t>
        </is>
      </c>
      <c r="F14" s="4" t="inlineStr">
        <is>
          <t>E-15: F-15.1</t>
        </is>
      </c>
      <c r="G14" s="4" t="inlineStr">
        <is>
          <t>PI-2</t>
        </is>
      </c>
    </row>
    <row r="15">
      <c r="A15" s="4" t="inlineStr">
        <is>
          <t>O-PI2-4</t>
        </is>
      </c>
      <c r="B15" s="4" t="inlineStr">
        <is>
          <t>Étendu</t>
        </is>
      </c>
      <c r="C15" s="4" t="inlineStr">
        <is>
          <t>Scoring influenceurs prêt</t>
        </is>
      </c>
      <c r="D15" s="4" t="n">
        <v>6</v>
      </c>
      <c r="E15" s="4" t="inlineStr">
        <is>
          <t>À faire</t>
        </is>
      </c>
      <c r="F15" s="4" t="inlineStr">
        <is>
          <t>E-16: F-16.1 + E-17: F-17.1</t>
        </is>
      </c>
      <c r="G15" s="4" t="inlineStr">
        <is>
          <t>PI-2</t>
        </is>
      </c>
    </row>
    <row r="16">
      <c r="A16" s="2" t="inlineStr">
        <is>
          <t>ASPIRATIONNEL (Non planifiés)</t>
        </is>
      </c>
    </row>
    <row r="17">
      <c r="A17" s="4" t="inlineStr">
        <is>
          <t>O-STR-1</t>
        </is>
      </c>
      <c r="B17" s="4" t="inlineStr">
        <is>
          <t>Aspirationnel</t>
        </is>
      </c>
      <c r="C17" s="4" t="inlineStr">
        <is>
          <t>Analytics avancés ML</t>
        </is>
      </c>
      <c r="D17" s="4" t="n">
        <v>4</v>
      </c>
      <c r="E17" s="4" t="inlineStr">
        <is>
          <t>À faire</t>
        </is>
      </c>
      <c r="F17" s="4" t="inlineStr">
        <is>
          <t>—</t>
        </is>
      </c>
      <c r="G17" s="4" t="inlineStr">
        <is>
          <t>—</t>
        </is>
      </c>
    </row>
    <row r="18">
      <c r="A18" s="4" t="inlineStr">
        <is>
          <t>O-STR-2</t>
        </is>
      </c>
      <c r="B18" s="4" t="inlineStr">
        <is>
          <t>Aspirationnel</t>
        </is>
      </c>
      <c r="C18" s="4" t="inlineStr">
        <is>
          <t>Ébauche expansion internationale</t>
        </is>
      </c>
      <c r="D18" s="4" t="n">
        <v>3</v>
      </c>
      <c r="E18" s="4" t="inlineStr">
        <is>
          <t>À faire</t>
        </is>
      </c>
      <c r="F18" s="4" t="inlineStr">
        <is>
          <t>—</t>
        </is>
      </c>
      <c r="G18" s="4" t="inlineStr">
        <is>
          <t>—</t>
        </is>
      </c>
    </row>
    <row r="19"/>
    <row r="20">
      <c r="A20" s="2" t="inlineStr">
        <is>
          <t>RÉSUMÉ</t>
        </is>
      </c>
    </row>
    <row r="21">
      <c r="A21" s="3" t="inlineStr">
        <is>
          <t>PI</t>
        </is>
      </c>
      <c r="B21" s="3" t="inlineStr">
        <is>
          <t>BV Engagé</t>
        </is>
      </c>
      <c r="C21" s="3" t="inlineStr">
        <is>
          <t>BV Étendu</t>
        </is>
      </c>
      <c r="D21" s="3" t="inlineStr">
        <is>
          <t>BV Aspirationnel</t>
        </is>
      </c>
      <c r="E21" s="3" t="inlineStr">
        <is>
          <t>BV Total</t>
        </is>
      </c>
      <c r="F21" s="3" t="inlineStr">
        <is>
          <t>Obj. Terminés</t>
        </is>
      </c>
      <c r="G21" s="3" t="inlineStr">
        <is>
          <t>Prédictabilité %</t>
        </is>
      </c>
    </row>
    <row r="22">
      <c r="A22" s="4" t="inlineStr">
        <is>
          <t>PI-1</t>
        </is>
      </c>
      <c r="B22" s="4">
        <f>SUMIFS(D6:D18,B6:B18,"Engagé",G6:G18,"PI-1")</f>
        <v/>
      </c>
      <c r="C22" s="4">
        <f>SUMIFS(D6:D18,B6:B18,"Étendu",G6:G18,"PI-1")</f>
        <v/>
      </c>
      <c r="D22" s="4">
        <f>SUMIFS(D17:D18,B17:B18,"Aspirationnel")</f>
        <v/>
      </c>
      <c r="E22" s="4">
        <f>SUM(B22:D22)</f>
        <v/>
      </c>
      <c r="F22" s="4">
        <f>COUNTIFS(G6:G10,"PI-1",E6:E10,"Terminé")</f>
        <v/>
      </c>
      <c r="G22" s="4">
        <f>IFERROR(F22/COUNTA(A6:A10),0)</f>
        <v/>
      </c>
    </row>
    <row r="23">
      <c r="A23" s="4" t="inlineStr">
        <is>
          <t>PI-2</t>
        </is>
      </c>
      <c r="B23" s="4">
        <f>SUMIFS(D6:D18,B6:B18,"Engagé",G6:G18,"PI-2")</f>
        <v/>
      </c>
      <c r="C23" s="4">
        <f>SUMIFS(D6:D18,B6:B18,"Étendu",G6:G18,"PI-2")</f>
        <v/>
      </c>
      <c r="D23" s="4" t="n">
        <v>0</v>
      </c>
      <c r="E23" s="4">
        <f>SUM(B23:D23)</f>
        <v/>
      </c>
      <c r="F23" s="4">
        <f>COUNTIFS(G12:G15,"PI-2",E12:E15,"Terminé")</f>
        <v/>
      </c>
      <c r="G23" s="4">
        <f>IFERROR(F23/COUNTA(A12:A15),0)</f>
        <v/>
      </c>
    </row>
    <row r="24">
      <c r="A24" s="4" t="inlineStr">
        <is>
          <t>Total</t>
        </is>
      </c>
      <c r="B24" s="4">
        <f>SUM(B22:B23)</f>
        <v/>
      </c>
      <c r="C24" s="4">
        <f>SUM(C22:C23)</f>
        <v/>
      </c>
      <c r="D24" s="4">
        <f>SUM(D22:D23)</f>
        <v/>
      </c>
      <c r="E24" s="4">
        <f>SUM(E22:E23)</f>
        <v/>
      </c>
      <c r="F24" s="4">
        <f>SUM(F22:F23)</f>
        <v/>
      </c>
      <c r="G24" s="4">
        <f>IFERROR(F24/COUNTA(A6:A18),0)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50" customWidth="1" min="3" max="3"/>
    <col width="24" customWidth="1" min="4" max="4"/>
    <col width="15" customWidth="1" min="5" max="5"/>
    <col width="30" customWidth="1" min="6" max="6"/>
    <col width="28" customWidth="1" min="7" max="7"/>
  </cols>
  <sheetData>
    <row r="1">
      <c r="A1" s="12" t="inlineStr">
        <is>
          <t>← Dashboard</t>
        </is>
      </c>
      <c r="B1" s="12" t="inlineStr">
        <is>
          <t>← Dashboard</t>
        </is>
      </c>
    </row>
    <row r="2"/>
    <row r="3">
      <c r="A3" s="2" t="inlineStr">
        <is>
          <t>SUIVI DES SPRINTS</t>
        </is>
      </c>
    </row>
    <row r="4">
      <c r="A4" s="5" t="inlineStr">
        <is>
          <t>Sprint</t>
        </is>
      </c>
      <c r="B4" s="5" t="inlineStr">
        <is>
          <t>PI</t>
        </is>
      </c>
      <c r="C4" s="5" t="inlineStr">
        <is>
          <t>SP Planifiés</t>
        </is>
      </c>
      <c r="D4" s="5" t="inlineStr">
        <is>
          <t>SP Réalisés</t>
        </is>
      </c>
      <c r="E4" s="5" t="inlineStr">
        <is>
          <t>Bugs</t>
        </is>
      </c>
      <c r="F4" s="5" t="inlineStr">
        <is>
          <t>Vélocité</t>
        </is>
      </c>
      <c r="G4" s="5" t="inlineStr">
        <is>
          <t>Notes</t>
        </is>
      </c>
    </row>
    <row r="5">
      <c r="A5" s="2" t="inlineStr">
        <is>
          <t>PI-1 (Jan-Mar 2025)</t>
        </is>
      </c>
    </row>
    <row r="6">
      <c r="A6" s="4" t="inlineStr">
        <is>
          <t>S1</t>
        </is>
      </c>
      <c r="B6" s="4" t="inlineStr">
        <is>
          <t>PI-1</t>
        </is>
      </c>
      <c r="C6" s="4">
        <f>SUMIF('Features &amp; US'!J:J,"S1",'Features &amp; US'!E:E)</f>
        <v/>
      </c>
      <c r="D6" s="4" t="n">
        <v>24</v>
      </c>
      <c r="E6" s="4" t="n">
        <v>3</v>
      </c>
      <c r="F6" s="4">
        <f>IF(D6="","",D6)</f>
        <v/>
      </c>
      <c r="G6" s="4" t="inlineStr">
        <is>
          <t>Premier sprint, onboarding</t>
        </is>
      </c>
    </row>
    <row r="7">
      <c r="A7" s="4" t="inlineStr">
        <is>
          <t>S2</t>
        </is>
      </c>
      <c r="B7" s="4" t="inlineStr">
        <is>
          <t>PI-1</t>
        </is>
      </c>
      <c r="C7" s="4">
        <f>SUMIF('Features &amp; US'!J:J,"S2",'Features &amp; US'!E:E)</f>
        <v/>
      </c>
      <c r="D7" s="4" t="n">
        <v>27</v>
      </c>
      <c r="E7" s="4" t="n">
        <v>0</v>
      </c>
      <c r="F7" s="4">
        <f>IF(D7="","",D7)</f>
        <v/>
      </c>
      <c r="G7" s="4" t="inlineStr">
        <is>
          <t>Vélocité maximale</t>
        </is>
      </c>
    </row>
    <row r="8">
      <c r="A8" s="4" t="inlineStr">
        <is>
          <t>S3</t>
        </is>
      </c>
      <c r="B8" s="4" t="inlineStr">
        <is>
          <t>PI-1</t>
        </is>
      </c>
      <c r="C8" s="4">
        <f>SUMIF('Features &amp; US'!J:J,"S3",'Features &amp; US'!E:E)</f>
        <v/>
      </c>
      <c r="D8" s="4" t="n">
        <v>25</v>
      </c>
      <c r="E8" s="4" t="n">
        <v>0</v>
      </c>
      <c r="F8" s="4">
        <f>IF(D8="","",D8)</f>
        <v/>
      </c>
      <c r="G8" s="4" t="inlineStr">
        <is>
          <t>Performance stable</t>
        </is>
      </c>
    </row>
    <row r="9">
      <c r="A9" s="4" t="inlineStr">
        <is>
          <t>S4</t>
        </is>
      </c>
      <c r="B9" s="4" t="inlineStr">
        <is>
          <t>PI-1</t>
        </is>
      </c>
      <c r="C9" s="4">
        <f>SUMIF('Features &amp; US'!J:J,"S4",'Features &amp; US'!E:E)</f>
        <v/>
      </c>
      <c r="D9" s="4" t="n">
        <v>25</v>
      </c>
      <c r="E9" s="4" t="n">
        <v>0</v>
      </c>
      <c r="F9" s="4">
        <f>IF(D9="","",D9)</f>
        <v/>
      </c>
      <c r="G9" s="4" t="inlineStr">
        <is>
          <t>Performance stable</t>
        </is>
      </c>
    </row>
    <row r="10">
      <c r="A10" s="4" t="inlineStr">
        <is>
          <t>S5</t>
        </is>
      </c>
      <c r="B10" s="4" t="inlineStr">
        <is>
          <t>PI-1</t>
        </is>
      </c>
      <c r="C10" s="4">
        <f>SUMIF('Features &amp; US'!J:J,"S5",'Features &amp; US'!E:E)</f>
        <v/>
      </c>
      <c r="D10" s="4" t="n"/>
      <c r="E10" s="4" t="n"/>
      <c r="F10" s="4">
        <f>IF(D10="","",D10)</f>
        <v/>
      </c>
      <c r="G10" s="4" t="inlineStr"/>
    </row>
    <row r="11">
      <c r="A11" s="4" t="inlineStr">
        <is>
          <t>S6</t>
        </is>
      </c>
      <c r="B11" s="4" t="inlineStr">
        <is>
          <t>PI-1</t>
        </is>
      </c>
      <c r="C11" s="4">
        <f>SUMIF('Features &amp; US'!J:J,"S6",'Features &amp; US'!E:E)</f>
        <v/>
      </c>
      <c r="D11" s="4" t="n"/>
      <c r="E11" s="4" t="n"/>
      <c r="F11" s="4">
        <f>IF(D11="","",D11)</f>
        <v/>
      </c>
      <c r="G11" s="4" t="inlineStr"/>
    </row>
    <row r="12">
      <c r="A12" s="2" t="inlineStr">
        <is>
          <t>PI-2 (Avr-Jun 2025)</t>
        </is>
      </c>
    </row>
    <row r="13">
      <c r="A13" s="4" t="inlineStr">
        <is>
          <t>S7</t>
        </is>
      </c>
      <c r="B13" s="4" t="inlineStr">
        <is>
          <t>PI-2</t>
        </is>
      </c>
      <c r="C13" s="4">
        <f>SUMIF('Features &amp; US'!J:J,"S7",'Features &amp; US'!E:E)</f>
        <v/>
      </c>
      <c r="D13" s="4" t="inlineStr"/>
      <c r="E13" s="4" t="inlineStr"/>
      <c r="F13" s="4">
        <f>IF(D13="","",D13)</f>
        <v/>
      </c>
      <c r="G13" s="4" t="inlineStr"/>
    </row>
    <row r="14">
      <c r="A14" s="4" t="inlineStr">
        <is>
          <t>S8</t>
        </is>
      </c>
      <c r="B14" s="4" t="inlineStr">
        <is>
          <t>PI-2</t>
        </is>
      </c>
      <c r="C14" s="4">
        <f>SUMIF('Features &amp; US'!J:J,"S8",'Features &amp; US'!E:E)</f>
        <v/>
      </c>
      <c r="D14" s="4" t="inlineStr"/>
      <c r="E14" s="4" t="inlineStr"/>
      <c r="F14" s="4">
        <f>IF(D14="","",D14)</f>
        <v/>
      </c>
      <c r="G14" s="4" t="inlineStr"/>
    </row>
    <row r="15">
      <c r="A15" s="4" t="inlineStr">
        <is>
          <t>S9</t>
        </is>
      </c>
      <c r="B15" s="4" t="inlineStr">
        <is>
          <t>PI-2</t>
        </is>
      </c>
      <c r="C15" s="4">
        <f>SUMIF('Features &amp; US'!J:J,"S9",'Features &amp; US'!E:E)</f>
        <v/>
      </c>
      <c r="D15" s="4" t="inlineStr"/>
      <c r="E15" s="4" t="inlineStr"/>
      <c r="F15" s="4">
        <f>IF(D15="","",D15)</f>
        <v/>
      </c>
      <c r="G15" s="4" t="inlineStr"/>
    </row>
    <row r="16">
      <c r="A16" s="4" t="inlineStr">
        <is>
          <t>S10</t>
        </is>
      </c>
      <c r="B16" s="4" t="inlineStr">
        <is>
          <t>PI-2</t>
        </is>
      </c>
      <c r="C16" s="4">
        <f>SUMIF('Features &amp; US'!J:J,"S10",'Features &amp; US'!E:E)</f>
        <v/>
      </c>
      <c r="D16" s="4" t="inlineStr"/>
      <c r="E16" s="4" t="inlineStr"/>
      <c r="F16" s="4">
        <f>IF(D16="","",D16)</f>
        <v/>
      </c>
      <c r="G16" s="4" t="inlineStr"/>
    </row>
    <row r="17">
      <c r="A17" s="4" t="inlineStr">
        <is>
          <t>S11</t>
        </is>
      </c>
      <c r="B17" s="4" t="inlineStr">
        <is>
          <t>PI-2</t>
        </is>
      </c>
      <c r="C17" s="4">
        <f>SUMIF('Features &amp; US'!J:J,"S11",'Features &amp; US'!E:E)</f>
        <v/>
      </c>
      <c r="D17" s="4" t="inlineStr"/>
      <c r="E17" s="4" t="inlineStr"/>
      <c r="F17" s="4">
        <f>IF(D17="","",D17)</f>
        <v/>
      </c>
      <c r="G17" s="4" t="inlineStr"/>
    </row>
    <row r="18">
      <c r="A18" s="4" t="inlineStr">
        <is>
          <t>S12</t>
        </is>
      </c>
      <c r="B18" s="4" t="inlineStr">
        <is>
          <t>PI-2</t>
        </is>
      </c>
      <c r="C18" s="4">
        <f>SUMIF('Features &amp; US'!J:J,"S12",'Features &amp; US'!E:E)</f>
        <v/>
      </c>
      <c r="D18" s="4" t="inlineStr"/>
      <c r="E18" s="4" t="inlineStr"/>
      <c r="F18" s="4">
        <f>IF(D18="","",D18)</f>
        <v/>
      </c>
      <c r="G18" s="4" t="inlineStr"/>
    </row>
    <row r="19"/>
    <row r="20">
      <c r="A20" s="2" t="inlineStr">
        <is>
          <t>RÉSUMÉ</t>
        </is>
      </c>
    </row>
    <row r="21">
      <c r="A21" s="3" t="inlineStr">
        <is>
          <t>PI</t>
        </is>
      </c>
      <c r="B21" s="3" t="inlineStr">
        <is>
          <t>Sprints terminés</t>
        </is>
      </c>
      <c r="C21" s="3" t="inlineStr">
        <is>
          <t>SP Planifiés</t>
        </is>
      </c>
      <c r="D21" s="3" t="inlineStr">
        <is>
          <t>SP Réalisés</t>
        </is>
      </c>
      <c r="E21" s="3" t="inlineStr">
        <is>
          <t>Total Bugs</t>
        </is>
      </c>
      <c r="F21" s="3" t="inlineStr">
        <is>
          <t>Vélocité moy.</t>
        </is>
      </c>
      <c r="G21" s="3" t="inlineStr">
        <is>
          <t>Engagement %</t>
        </is>
      </c>
    </row>
    <row r="22">
      <c r="A22" s="4" t="inlineStr">
        <is>
          <t>PI-1</t>
        </is>
      </c>
      <c r="B22" s="4">
        <f>COUNTA(D6:D11)</f>
        <v/>
      </c>
      <c r="C22" s="4">
        <f>SUM(C6:C11)</f>
        <v/>
      </c>
      <c r="D22" s="4">
        <f>SUM(D6:D11)</f>
        <v/>
      </c>
      <c r="E22" s="4">
        <f>SUM(E6:E11)</f>
        <v/>
      </c>
      <c r="F22" s="4">
        <f>IFERROR(AVERAGE(F6:F11),0)</f>
        <v/>
      </c>
      <c r="G22" s="4">
        <f>IFERROR(D22/C22,0)</f>
        <v/>
      </c>
    </row>
    <row r="23">
      <c r="A23" s="4" t="inlineStr">
        <is>
          <t>PI-2</t>
        </is>
      </c>
      <c r="B23" s="4">
        <f>COUNTA(D13:D18)</f>
        <v/>
      </c>
      <c r="C23" s="4">
        <f>SUM(C13:C18)</f>
        <v/>
      </c>
      <c r="D23" s="4">
        <f>SUM(D13:D18)</f>
        <v/>
      </c>
      <c r="E23" s="4">
        <f>SUM(E13:E18)</f>
        <v/>
      </c>
      <c r="F23" s="4">
        <f>IFERROR(AVERAGE(F13:F18),0)</f>
        <v/>
      </c>
      <c r="G23" s="4">
        <f>IFERROR(D23/C23,0)</f>
        <v/>
      </c>
    </row>
    <row r="24">
      <c r="A24" s="4" t="inlineStr">
        <is>
          <t>Total</t>
        </is>
      </c>
      <c r="B24" s="4">
        <f>SUM(B22:B23)</f>
        <v/>
      </c>
      <c r="C24" s="4">
        <f>SUM(C22:C23)</f>
        <v/>
      </c>
      <c r="D24" s="4">
        <f>SUM(D22:D23)</f>
        <v/>
      </c>
      <c r="E24" s="4">
        <f>SUM(E22:E23)</f>
        <v/>
      </c>
      <c r="F24" s="4">
        <f>IFERROR(AVERAGE(F22:F23),0)</f>
        <v/>
      </c>
      <c r="G24" s="4">
        <f>IFERROR(D24/C24,0)</f>
        <v/>
      </c>
    </row>
    <row r="25"/>
    <row r="26">
      <c r="A26" s="2" t="inlineStr">
        <is>
          <t>CAPACITÉ DE L'ÉQUIPE</t>
        </is>
      </c>
    </row>
    <row r="27">
      <c r="A27" s="11" t="inlineStr">
        <is>
          <t>Membre</t>
        </is>
      </c>
      <c r="B27" s="11" t="inlineStr">
        <is>
          <t>Rôle</t>
        </is>
      </c>
      <c r="C27" s="11" t="inlineStr">
        <is>
          <t>Capacité (SP/sprint)</t>
        </is>
      </c>
      <c r="D27" s="11" t="inlineStr">
        <is>
          <t>Spécialité</t>
        </is>
      </c>
    </row>
    <row r="28">
      <c r="A28" s="4" t="inlineStr">
        <is>
          <t>Dev Lead</t>
        </is>
      </c>
      <c r="B28" s="4" t="inlineStr"/>
      <c r="C28" s="4" t="n">
        <v>8</v>
      </c>
      <c r="D28" s="4" t="inlineStr">
        <is>
          <t>Backend / Architecture</t>
        </is>
      </c>
    </row>
    <row r="29">
      <c r="A29" s="4" t="inlineStr">
        <is>
          <t>Frontend Dev</t>
        </is>
      </c>
      <c r="B29" s="4" t="inlineStr"/>
      <c r="C29" s="4" t="n">
        <v>7</v>
      </c>
      <c r="D29" s="4" t="inlineStr">
        <is>
          <t>UI / Angular</t>
        </is>
      </c>
    </row>
    <row r="30">
      <c r="A30" s="4" t="inlineStr">
        <is>
          <t>Full Stack Dev</t>
        </is>
      </c>
      <c r="B30" s="4" t="inlineStr"/>
      <c r="C30" s="4" t="n">
        <v>8</v>
      </c>
      <c r="D30" s="4" t="inlineStr">
        <is>
          <t>Fonctionnalités</t>
        </is>
      </c>
    </row>
    <row r="31">
      <c r="A31" s="4" t="inlineStr">
        <is>
          <t>QA Engineer</t>
        </is>
      </c>
      <c r="B31" s="4" t="inlineStr"/>
      <c r="C31" s="4" t="n">
        <v>4</v>
      </c>
      <c r="D31" s="4" t="inlineStr">
        <is>
          <t>Tests / Qualité</t>
        </is>
      </c>
    </row>
    <row r="32">
      <c r="A32" s="4" t="inlineStr">
        <is>
          <t>Total</t>
        </is>
      </c>
      <c r="B32" s="4" t="inlineStr"/>
      <c r="C32" s="4">
        <f>SUM(C28:C31)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21" customWidth="1" min="3" max="3"/>
    <col width="13" customWidth="1" min="4" max="4"/>
    <col width="10" customWidth="1" min="5" max="5"/>
    <col width="18" customWidth="1" min="6" max="6"/>
    <col width="29" customWidth="1" min="7" max="7"/>
    <col width="22" customWidth="1" min="8" max="8"/>
  </cols>
  <sheetData>
    <row r="1">
      <c r="A1" s="12" t="inlineStr">
        <is>
          <t>← Dashboard</t>
        </is>
      </c>
      <c r="B1" s="12" t="inlineStr">
        <is>
          <t>← Dashboard</t>
        </is>
      </c>
    </row>
    <row r="2"/>
    <row r="3">
      <c r="A3" s="2" t="inlineStr">
        <is>
          <t>REGISTRE ROAM</t>
        </is>
      </c>
    </row>
    <row r="4">
      <c r="A4" s="7" t="inlineStr">
        <is>
          <t>ID Risque</t>
        </is>
      </c>
      <c r="B4" s="7" t="inlineStr">
        <is>
          <t>Description</t>
        </is>
      </c>
      <c r="C4" s="7" t="inlineStr">
        <is>
          <t>Statut ROAM</t>
        </is>
      </c>
      <c r="D4" s="7" t="inlineStr">
        <is>
          <t>Probabilité</t>
        </is>
      </c>
      <c r="E4" s="7" t="inlineStr">
        <is>
          <t>Impact</t>
        </is>
      </c>
      <c r="F4" s="7" t="inlineStr">
        <is>
          <t>Responsable</t>
        </is>
      </c>
      <c r="G4" s="7" t="inlineStr">
        <is>
          <t>Échéance</t>
        </is>
      </c>
      <c r="H4" s="7" t="inlineStr">
        <is>
          <t>Action / Atténuation</t>
        </is>
      </c>
    </row>
    <row r="5">
      <c r="A5" s="4" t="inlineStr">
        <is>
          <t>R-01</t>
        </is>
      </c>
      <c r="B5" s="4" t="inlineStr">
        <is>
          <t>Capacité solo-dev insuffisante pour 81 SP engagés</t>
        </is>
      </c>
      <c r="C5" s="4" t="inlineStr">
        <is>
          <t>Accepté</t>
        </is>
      </c>
      <c r="D5" s="4" t="inlineStr">
        <is>
          <t>Haute</t>
        </is>
      </c>
      <c r="E5" s="4" t="inlineStr">
        <is>
          <t>Moyen</t>
        </is>
      </c>
      <c r="F5" s="4" t="inlineStr">
        <is>
          <t>Gwenvael</t>
        </is>
      </c>
      <c r="G5" s="4" t="inlineStr"/>
      <c r="H5" s="4" t="inlineStr"/>
    </row>
    <row r="6">
      <c r="A6" s="4" t="inlineStr">
        <is>
          <t>R-02</t>
        </is>
      </c>
      <c r="B6" s="4" t="inlineStr">
        <is>
          <t>WiFi gymnase instable pendant les tests</t>
        </is>
      </c>
      <c r="C6" s="4" t="inlineStr">
        <is>
          <t>Atténué</t>
        </is>
      </c>
      <c r="D6" s="4" t="inlineStr">
        <is>
          <t>Haute</t>
        </is>
      </c>
      <c r="E6" s="4" t="inlineStr">
        <is>
          <t>Moyen</t>
        </is>
      </c>
      <c r="F6" s="4" t="inlineStr">
        <is>
          <t>Gwenvael</t>
        </is>
      </c>
      <c r="G6" s="4" t="inlineStr"/>
      <c r="H6" s="4" t="inlineStr"/>
    </row>
    <row r="7">
      <c r="A7" s="4" t="inlineStr">
        <is>
          <t>R-03</t>
        </is>
      </c>
      <c r="B7" s="4" t="inlineStr">
        <is>
          <t>Aucun sponsor inscrit pour valider le portail</t>
        </is>
      </c>
      <c r="C7" s="4" t="inlineStr">
        <is>
          <t>Pris en charge</t>
        </is>
      </c>
      <c r="D7" s="4" t="inlineStr">
        <is>
          <t>Moyenne</t>
        </is>
      </c>
      <c r="E7" s="4" t="inlineStr">
        <is>
          <t>Élevé</t>
        </is>
      </c>
      <c r="F7" s="4" t="inlineStr">
        <is>
          <t>Gwenvael + Gabin</t>
        </is>
      </c>
      <c r="G7" s="4" t="inlineStr"/>
      <c r="H7" s="4" t="inlineStr"/>
    </row>
    <row r="8">
      <c r="A8" s="4" t="inlineStr">
        <is>
          <t>R-04</t>
        </is>
      </c>
      <c r="B8" s="4" t="inlineStr">
        <is>
          <t>Dépendance Supabase pour le scaling</t>
        </is>
      </c>
      <c r="C8" s="4" t="inlineStr">
        <is>
          <t>Accepté</t>
        </is>
      </c>
      <c r="D8" s="4" t="inlineStr">
        <is>
          <t>Basse</t>
        </is>
      </c>
      <c r="E8" s="4" t="inlineStr">
        <is>
          <t>Élevé</t>
        </is>
      </c>
      <c r="F8" s="4" t="inlineStr">
        <is>
          <t>Gwenvael</t>
        </is>
      </c>
      <c r="G8" s="4" t="inlineStr"/>
      <c r="H8" s="4" t="inlineStr"/>
    </row>
    <row r="9">
      <c r="A9" s="4" t="inlineStr">
        <is>
          <t>R-05</t>
        </is>
      </c>
      <c r="B9" s="4" t="inlineStr">
        <is>
          <t>Sécurité des api_keys Pi</t>
        </is>
      </c>
      <c r="C9" s="4" t="inlineStr">
        <is>
          <t>Atténué</t>
        </is>
      </c>
      <c r="D9" s="4" t="inlineStr">
        <is>
          <t>Basse</t>
        </is>
      </c>
      <c r="E9" s="4" t="inlineStr">
        <is>
          <t>Critique</t>
        </is>
      </c>
      <c r="F9" s="4" t="inlineStr">
        <is>
          <t>Gwenvael</t>
        </is>
      </c>
      <c r="G9" s="4" t="inlineStr"/>
      <c r="H9" s="4" t="inlineStr"/>
    </row>
    <row r="10">
      <c r="A10" s="4" t="inlineStr">
        <is>
          <t>R-06</t>
        </is>
      </c>
      <c r="B10" s="4" t="inlineStr">
        <is>
          <t>Retard onboarding automatisé bloque le scaling</t>
        </is>
      </c>
      <c r="C10" s="4" t="inlineStr">
        <is>
          <t>Pris en charge</t>
        </is>
      </c>
      <c r="D10" s="4" t="inlineStr">
        <is>
          <t>Moyenne</t>
        </is>
      </c>
      <c r="E10" s="4" t="inlineStr">
        <is>
          <t>Critique</t>
        </is>
      </c>
      <c r="F10" s="4" t="inlineStr">
        <is>
          <t>Gwenvael</t>
        </is>
      </c>
      <c r="G10" s="4" t="inlineStr"/>
      <c r="H10" s="4" t="inlineStr"/>
    </row>
    <row r="11">
      <c r="A11" s="4" t="inlineStr">
        <is>
          <t>R-07</t>
        </is>
      </c>
      <c r="B11" s="4" t="inlineStr">
        <is>
          <t>Hébergement FTP Hostinger comme point de défaillance</t>
        </is>
      </c>
      <c r="C11" s="4" t="inlineStr">
        <is>
          <t>Accepté</t>
        </is>
      </c>
      <c r="D11" s="4" t="inlineStr">
        <is>
          <t>Basse</t>
        </is>
      </c>
      <c r="E11" s="4" t="inlineStr">
        <is>
          <t>Élevé</t>
        </is>
      </c>
      <c r="F11" s="4" t="inlineStr">
        <is>
          <t>Gwenvael</t>
        </is>
      </c>
      <c r="G11" s="4" t="inlineStr"/>
      <c r="H11" s="4" t="inlineStr"/>
    </row>
    <row r="12">
      <c r="A12" s="4" t="inlineStr">
        <is>
          <t>R-08</t>
        </is>
      </c>
      <c r="B12" s="4" t="inlineStr">
        <is>
          <t>Absence de tests E2E sur le parcours sponsor</t>
        </is>
      </c>
      <c r="C12" s="4" t="inlineStr">
        <is>
          <t>Pris en charge</t>
        </is>
      </c>
      <c r="D12" s="4" t="inlineStr">
        <is>
          <t>Haute</t>
        </is>
      </c>
      <c r="E12" s="4" t="inlineStr">
        <is>
          <t>Moyen</t>
        </is>
      </c>
      <c r="F12" s="4" t="inlineStr">
        <is>
          <t>Gwenvael</t>
        </is>
      </c>
      <c r="G12" s="4" t="inlineStr"/>
      <c r="H12" s="4" t="inlineStr"/>
    </row>
    <row r="13"/>
    <row r="14">
      <c r="A14" s="2" t="inlineStr">
        <is>
          <t>RÉSUMÉ ROAM</t>
        </is>
      </c>
    </row>
    <row r="15">
      <c r="A15" s="3" t="inlineStr">
        <is>
          <t>Statut ROAM</t>
        </is>
      </c>
      <c r="B15" s="3" t="inlineStr">
        <is>
          <t>Nombre</t>
        </is>
      </c>
      <c r="C15" s="3" t="inlineStr">
        <is>
          <t>% du Total</t>
        </is>
      </c>
      <c r="D15" s="3" t="inlineStr">
        <is>
          <t>Couleur</t>
        </is>
      </c>
      <c r="E15" s="3" t="inlineStr"/>
      <c r="F15" s="3" t="inlineStr">
        <is>
          <t>Niveau Impact</t>
        </is>
      </c>
      <c r="G15" s="3" t="inlineStr">
        <is>
          <t>Nombre</t>
        </is>
      </c>
      <c r="H15" s="3" t="inlineStr">
        <is>
          <t>% du Total</t>
        </is>
      </c>
    </row>
    <row r="16">
      <c r="A16" s="4" t="inlineStr">
        <is>
          <t>Résolu</t>
        </is>
      </c>
      <c r="B16" s="4">
        <f>COUNTIF(C5:C12,"Résolu")</f>
        <v/>
      </c>
      <c r="C16" s="4">
        <f>IFERROR(B16/B20,0)</f>
        <v/>
      </c>
      <c r="D16" s="4" t="inlineStr">
        <is>
          <t>█ Vert</t>
        </is>
      </c>
      <c r="F16" s="4" t="inlineStr">
        <is>
          <t>Critique</t>
        </is>
      </c>
      <c r="G16" s="4">
        <f>COUNTIF(E5:E12,"Critique")</f>
        <v/>
      </c>
      <c r="H16" s="4">
        <f>IFERROR(G16/G19,0)</f>
        <v/>
      </c>
    </row>
    <row r="17">
      <c r="A17" s="4" t="inlineStr">
        <is>
          <t>Pris en charge</t>
        </is>
      </c>
      <c r="B17" s="4">
        <f>COUNTIF(C5:C12,"Pris en charge")</f>
        <v/>
      </c>
      <c r="C17" s="4">
        <f>IFERROR(B17/B20,0)</f>
        <v/>
      </c>
      <c r="D17" s="4" t="inlineStr">
        <is>
          <t>█ Orange</t>
        </is>
      </c>
      <c r="F17" s="4" t="inlineStr">
        <is>
          <t>Élevé</t>
        </is>
      </c>
      <c r="G17" s="4">
        <f>COUNTIF(E5:E12,"Élevé")</f>
        <v/>
      </c>
      <c r="H17" s="4">
        <f>IFERROR(G17/G19,0)</f>
        <v/>
      </c>
    </row>
    <row r="18">
      <c r="A18" s="4" t="inlineStr">
        <is>
          <t>Accepté</t>
        </is>
      </c>
      <c r="B18" s="4">
        <f>COUNTIF(C5:C12,"Accepté")</f>
        <v/>
      </c>
      <c r="C18" s="4">
        <f>IFERROR(B18/B20,0)</f>
        <v/>
      </c>
      <c r="D18" s="4" t="inlineStr">
        <is>
          <t>█ Jaune</t>
        </is>
      </c>
      <c r="F18" s="4" t="inlineStr">
        <is>
          <t>Moyen</t>
        </is>
      </c>
      <c r="G18" s="4">
        <f>COUNTIF(E5:E12,"Moyen")</f>
        <v/>
      </c>
      <c r="H18" s="4">
        <f>IFERROR(G18/G19,0)</f>
        <v/>
      </c>
    </row>
    <row r="19">
      <c r="A19" s="4" t="inlineStr">
        <is>
          <t>Atténué</t>
        </is>
      </c>
      <c r="B19" s="4">
        <f>COUNTIF(C5:C12,"Atténué")</f>
        <v/>
      </c>
      <c r="C19" s="4">
        <f>IFERROR(B19/B20,0)</f>
        <v/>
      </c>
      <c r="D19" s="4" t="inlineStr">
        <is>
          <t>█ Bleu</t>
        </is>
      </c>
      <c r="F19" s="4" t="inlineStr">
        <is>
          <t>TOTAL</t>
        </is>
      </c>
      <c r="G19" s="4">
        <f>SUM(G16:G18)</f>
        <v/>
      </c>
      <c r="H19" s="4">
        <f>SUM(H16:H18)</f>
        <v/>
      </c>
    </row>
    <row r="20">
      <c r="A20" s="4" t="inlineStr">
        <is>
          <t>TOTAL</t>
        </is>
      </c>
      <c r="B20" s="4">
        <f>SUM(B16:B19)</f>
        <v/>
      </c>
      <c r="C20" s="4">
        <f>SUM(C16:C19)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8" customWidth="1" min="3" max="3"/>
    <col width="24" customWidth="1" min="4" max="4"/>
    <col width="15" customWidth="1" min="5" max="5"/>
  </cols>
  <sheetData>
    <row r="1">
      <c r="A1" s="12" t="inlineStr">
        <is>
          <t>← Dashboard</t>
        </is>
      </c>
      <c r="B1" s="12" t="inlineStr">
        <is>
          <t>← Dashboard</t>
        </is>
      </c>
    </row>
    <row r="2"/>
    <row r="3">
      <c r="A3" s="2" t="inlineStr">
        <is>
          <t>MÉTRIQUES DE FLUX PAR VALUE STREAM</t>
        </is>
      </c>
    </row>
    <row r="4">
      <c r="A4" s="10" t="inlineStr">
        <is>
          <t>Value Stream</t>
        </is>
      </c>
      <c r="B4" s="10" t="inlineStr">
        <is>
          <t>Limite TEP</t>
        </is>
      </c>
      <c r="C4" s="10" t="inlineStr">
        <is>
          <t>Débit (US/sem.)</t>
        </is>
      </c>
      <c r="D4" s="10" t="inlineStr">
        <is>
          <t>Temps de Cycle (jours)</t>
        </is>
      </c>
      <c r="E4" s="10" t="inlineStr">
        <is>
          <t>Santé du Flux</t>
        </is>
      </c>
    </row>
    <row r="5">
      <c r="A5" s="4" t="inlineStr">
        <is>
          <t>OVS-1 : Club to Screen</t>
        </is>
      </c>
      <c r="B5" s="4" t="inlineStr"/>
      <c r="C5" s="4" t="inlineStr"/>
      <c r="D5" s="4" t="inlineStr"/>
      <c r="E5" s="4" t="inlineStr"/>
    </row>
    <row r="6">
      <c r="A6" s="4" t="inlineStr">
        <is>
          <t>OVS-2 : Sponsor Impression</t>
        </is>
      </c>
      <c r="B6" s="4" t="inlineStr"/>
      <c r="C6" s="4" t="inlineStr"/>
      <c r="D6" s="4" t="inlineStr"/>
      <c r="E6" s="4" t="inlineStr"/>
    </row>
    <row r="7">
      <c r="A7" s="4" t="inlineStr">
        <is>
          <t>DVS-1 : Platform</t>
        </is>
      </c>
      <c r="B7" s="4" t="inlineStr"/>
      <c r="C7" s="4" t="inlineStr"/>
      <c r="D7" s="4" t="inlineStr"/>
      <c r="E7" s="4" t="inlineStr"/>
    </row>
    <row r="8">
      <c r="A8" s="4" t="inlineStr">
        <is>
          <t>Support / Dette technique</t>
        </is>
      </c>
      <c r="B8" s="4" t="inlineStr"/>
      <c r="C8" s="4" t="inlineStr"/>
      <c r="D8" s="4" t="inlineStr"/>
      <c r="E8" s="4" t="inlineStr"/>
    </row>
    <row r="9">
      <c r="A9" s="4" t="inlineStr">
        <is>
          <t>Intégration / Infra</t>
        </is>
      </c>
      <c r="B9" s="4" t="inlineStr"/>
      <c r="C9" s="4" t="inlineStr"/>
      <c r="D9" s="4" t="inlineStr"/>
      <c r="E9" s="4" t="inlineStr"/>
    </row>
    <row r="10">
      <c r="A10" s="4" t="inlineStr">
        <is>
          <t>Apprentissage / Innovation</t>
        </is>
      </c>
      <c r="B10" s="4" t="inlineStr"/>
      <c r="C10" s="4" t="inlineStr"/>
      <c r="D10" s="4" t="inlineStr"/>
      <c r="E10" s="4" t="inlineStr"/>
    </row>
    <row r="11">
      <c r="A11" s="4" t="inlineStr">
        <is>
          <t>TOTAL / MOYENNE</t>
        </is>
      </c>
      <c r="B11" s="4">
        <f>SUM(B5:B10)</f>
        <v/>
      </c>
      <c r="C11" s="4">
        <f>AVERAGE(C5:C10)</f>
        <v/>
      </c>
      <c r="D11" s="4">
        <f>AVERAGE(D5:D10)</f>
        <v/>
      </c>
    </row>
    <row r="12"/>
    <row r="13">
      <c r="A13" s="2" t="inlineStr">
        <is>
          <t>ALLOCATION PAR VALUE STREAM</t>
        </is>
      </c>
    </row>
    <row r="14">
      <c r="A14" s="11" t="inlineStr">
        <is>
          <t>Value Stream</t>
        </is>
      </c>
      <c r="B14" s="11" t="inlineStr">
        <is>
          <t>Allocation %</t>
        </is>
      </c>
      <c r="C14" s="11" t="inlineStr">
        <is>
          <t>Barre visuelle</t>
        </is>
      </c>
    </row>
    <row r="15">
      <c r="A15" s="4" t="inlineStr">
        <is>
          <t>Club to Screen</t>
        </is>
      </c>
      <c r="B15" s="4" t="inlineStr"/>
      <c r="C15" s="4">
        <f>REPT("█",B15/5)</f>
        <v/>
      </c>
    </row>
    <row r="16">
      <c r="A16" s="4" t="inlineStr">
        <is>
          <t>Sponsor Impression</t>
        </is>
      </c>
      <c r="B16" s="4" t="inlineStr"/>
      <c r="C16" s="4">
        <f>REPT("█",B16/5)</f>
        <v/>
      </c>
    </row>
    <row r="17">
      <c r="A17" s="4" t="inlineStr">
        <is>
          <t>Platform Core</t>
        </is>
      </c>
      <c r="B17" s="4" t="inlineStr"/>
      <c r="C17" s="4">
        <f>REPT("█",B17/5)</f>
        <v/>
      </c>
    </row>
    <row r="18">
      <c r="A18" s="4" t="inlineStr">
        <is>
          <t>Support / Dette</t>
        </is>
      </c>
      <c r="B18" s="4" t="inlineStr"/>
      <c r="C18" s="4">
        <f>REPT("█",B18/5)</f>
        <v/>
      </c>
    </row>
    <row r="19">
      <c r="A19" s="4" t="inlineStr">
        <is>
          <t>Apprentissage</t>
        </is>
      </c>
      <c r="B19" s="4" t="inlineStr"/>
      <c r="C19" s="4">
        <f>REPT("█",B19/5)</f>
        <v/>
      </c>
    </row>
    <row r="20">
      <c r="A20" s="4" t="inlineStr">
        <is>
          <t>TOTAL</t>
        </is>
      </c>
      <c r="B20" s="4">
        <f>SUM(B15:B19)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33" customWidth="1" min="3" max="3"/>
    <col width="12" customWidth="1" min="4" max="4"/>
    <col width="60" customWidth="1" min="5" max="5"/>
    <col width="18" customWidth="1" min="6" max="6"/>
  </cols>
  <sheetData>
    <row r="1">
      <c r="A1" s="12" t="inlineStr">
        <is>
          <t>← Dashboard</t>
        </is>
      </c>
      <c r="B1" s="12" t="inlineStr">
        <is>
          <t>← Dashboard</t>
        </is>
      </c>
    </row>
    <row r="2">
      <c r="A2" t="inlineStr">
        <is>
          <t>184 features — 13 domaines — Source: implemented-backlog-import.csv</t>
        </is>
      </c>
    </row>
    <row r="3">
      <c r="A3" s="11" t="inlineStr">
        <is>
          <t>ID</t>
        </is>
      </c>
      <c r="B3" s="11" t="inlineStr">
        <is>
          <t>Feature</t>
        </is>
      </c>
      <c r="C3" s="11" t="inlineStr">
        <is>
          <t>Status</t>
        </is>
      </c>
      <c r="D3" s="11" t="inlineStr">
        <is>
          <t>Version</t>
        </is>
      </c>
      <c r="E3" s="11" t="inlineStr">
        <is>
          <t>Fichier</t>
        </is>
      </c>
      <c r="F3" s="11" t="inlineStr">
        <is>
          <t>Domaine</t>
        </is>
      </c>
    </row>
    <row r="4">
      <c r="A4" s="6" t="inlineStr">
        <is>
          <t>Authentification JWT (HttpOnly cookies + Bearer)</t>
        </is>
      </c>
      <c r="B4" s="6" t="inlineStr">
        <is>
          <t>IMP-SEC-01</t>
        </is>
      </c>
      <c r="C4" s="6" t="inlineStr">
        <is>
          <t>Authentification &amp; Sécurité</t>
        </is>
      </c>
      <c r="D4" s="6" t="inlineStr">
        <is>
          <t>Production</t>
        </is>
      </c>
      <c r="E4" s="6" t="inlineStr">
        <is>
          <t>auth.controller.ts, authentication.service.ts</t>
        </is>
      </c>
      <c r="F4" s="6" t="inlineStr">
        <is>
          <t>Déc 2025</t>
        </is>
      </c>
    </row>
    <row r="5">
      <c r="A5" s="6" t="inlineStr">
        <is>
          <t>MFA / 2FA (TOTP avec QR code)</t>
        </is>
      </c>
      <c r="B5" s="6" t="inlineStr">
        <is>
          <t>IMP-SEC-02</t>
        </is>
      </c>
      <c r="C5" s="6" t="inlineStr">
        <is>
          <t>Authentification &amp; Sécurité</t>
        </is>
      </c>
      <c r="D5" s="6" t="inlineStr">
        <is>
          <t>Production</t>
        </is>
      </c>
      <c r="E5" s="6" t="inlineStr">
        <is>
          <t>mfa.service.ts, mfa.routes.ts</t>
        </is>
      </c>
      <c r="F5" s="6" t="inlineStr">
        <is>
          <t>Déc 2025</t>
        </is>
      </c>
    </row>
    <row r="6">
      <c r="A6" s="6" t="inlineStr">
        <is>
          <t>Réinitialisation mot de passe (token 24h + email)</t>
        </is>
      </c>
      <c r="B6" s="6" t="inlineStr">
        <is>
          <t>IMP-SEC-03</t>
        </is>
      </c>
      <c r="C6" s="6" t="inlineStr">
        <is>
          <t>Authentification &amp; Sécurité</t>
        </is>
      </c>
      <c r="D6" s="6" t="inlineStr">
        <is>
          <t>Production</t>
        </is>
      </c>
      <c r="E6" s="6" t="inlineStr">
        <is>
          <t>password-reset.service.ts</t>
        </is>
      </c>
      <c r="F6" s="6" t="inlineStr">
        <is>
          <t>Déc 2025</t>
        </is>
      </c>
    </row>
    <row r="7">
      <c r="A7" s="6" t="inlineStr">
        <is>
          <t>Journalisation d'audit GDPR</t>
        </is>
      </c>
      <c r="B7" s="6" t="inlineStr">
        <is>
          <t>IMP-SEC-04</t>
        </is>
      </c>
      <c r="C7" s="6" t="inlineStr">
        <is>
          <t>Authentification &amp; Sécurité</t>
        </is>
      </c>
      <c r="D7" s="6" t="inlineStr">
        <is>
          <t>Production</t>
        </is>
      </c>
      <c r="E7" s="6" t="inlineStr">
        <is>
          <t>audit.service.ts, audit.routes.ts</t>
        </is>
      </c>
      <c r="F7" s="6" t="inlineStr">
        <is>
          <t>Déc 2025</t>
        </is>
      </c>
    </row>
    <row r="8">
      <c r="A8" s="6" t="inlineStr">
        <is>
          <t>Sécurité niveau ligne (isolation multi-tenant PostgreSQL)</t>
        </is>
      </c>
      <c r="B8" s="6" t="inlineStr">
        <is>
          <t>IMP-SEC-05</t>
        </is>
      </c>
      <c r="C8" s="6" t="inlineStr">
        <is>
          <t>Authentification &amp; Sécurité</t>
        </is>
      </c>
      <c r="D8" s="6" t="inlineStr">
        <is>
          <t>Production</t>
        </is>
      </c>
      <c r="E8" s="6" t="inlineStr">
        <is>
          <t>00-create-rls-functions.sql, enable-row-level-security.sql</t>
        </is>
      </c>
      <c r="F8" s="6" t="inlineStr">
        <is>
          <t>Déc 2025</t>
        </is>
      </c>
    </row>
    <row r="9">
      <c r="A9" s="6" t="inlineStr">
        <is>
          <t>CORS fermé par défaut en production</t>
        </is>
      </c>
      <c r="B9" s="6" t="inlineStr">
        <is>
          <t>IMP-SEC-06</t>
        </is>
      </c>
      <c r="C9" s="6" t="inlineStr">
        <is>
          <t>Authentification &amp; Sécurité</t>
        </is>
      </c>
      <c r="D9" s="6" t="inlineStr">
        <is>
          <t>Production</t>
        </is>
      </c>
      <c r="E9" s="6" t="inlineStr">
        <is>
          <t>server.ts</t>
        </is>
      </c>
      <c r="F9" s="6" t="inlineStr">
        <is>
          <t>Déc 2025</t>
        </is>
      </c>
    </row>
    <row r="10">
      <c r="A10" s="6" t="inlineStr">
        <is>
          <t>Auth admin Raspberry (cookies session + mot de passe initial)</t>
        </is>
      </c>
      <c r="B10" s="6" t="inlineStr">
        <is>
          <t>IMP-SEC-07</t>
        </is>
      </c>
      <c r="C10" s="6" t="inlineStr">
        <is>
          <t>Authentification &amp; Sécurité</t>
        </is>
      </c>
      <c r="D10" s="6" t="inlineStr">
        <is>
          <t>Production</t>
        </is>
      </c>
      <c r="E10" s="6" t="inlineStr">
        <is>
          <t>admin-server.js, auth-config.json</t>
        </is>
      </c>
      <c r="F10" s="6" t="inlineStr">
        <is>
          <t>Déc 2025</t>
        </is>
      </c>
    </row>
    <row r="11">
      <c r="A11" s="6" t="inlineStr">
        <is>
          <t>Suppression mot de passe en dur</t>
        </is>
      </c>
      <c r="B11" s="6" t="inlineStr">
        <is>
          <t>IMP-SEC-08</t>
        </is>
      </c>
      <c r="C11" s="6" t="inlineStr">
        <is>
          <t>Authentification &amp; Sécurité</t>
        </is>
      </c>
      <c r="D11" s="6" t="inlineStr">
        <is>
          <t>Production</t>
        </is>
      </c>
      <c r="E11" s="6" t="inlineStr">
        <is>
          <t>-</t>
        </is>
      </c>
      <c r="F11" s="6" t="inlineStr">
        <is>
          <t>Déc 2025</t>
        </is>
      </c>
    </row>
    <row r="12">
      <c r="A12" s="6" t="inlineStr">
        <is>
          <t>GDPR self-service (Art. 17 droit à l'effacement + Art. 20 portabilité)</t>
        </is>
      </c>
      <c r="B12" s="6" t="inlineStr">
        <is>
          <t>IMP-SEC-09</t>
        </is>
      </c>
      <c r="C12" s="6" t="inlineStr">
        <is>
          <t>Authentification &amp; Sécurité</t>
        </is>
      </c>
      <c r="D12" s="6" t="inlineStr">
        <is>
          <t>Production</t>
        </is>
      </c>
      <c r="E12" s="6" t="inlineStr">
        <is>
          <t>gdpr.service.ts</t>
        </is>
      </c>
      <c r="F12" s="6" t="inlineStr">
        <is>
          <t>Déc 2025</t>
        </is>
      </c>
    </row>
    <row r="13">
      <c r="A13" s="6" t="inlineStr">
        <is>
          <t>Sauvegardes chiffrées AES-256-GCM avec PBKDF2</t>
        </is>
      </c>
      <c r="B13" s="6" t="inlineStr">
        <is>
          <t>IMP-SEC-10</t>
        </is>
      </c>
      <c r="C13" s="6" t="inlineStr">
        <is>
          <t>Authentification &amp; Sécurité</t>
        </is>
      </c>
      <c r="D13" s="6" t="inlineStr">
        <is>
          <t>Production</t>
        </is>
      </c>
      <c r="E13" s="6" t="inlineStr">
        <is>
          <t>backup-encryption.service.ts</t>
        </is>
      </c>
      <c r="F13" s="6" t="inlineStr">
        <is>
          <t>Déc 2025</t>
        </is>
      </c>
    </row>
    <row r="14">
      <c r="A14" s="6" t="inlineStr">
        <is>
          <t>Helmet renforcé (CSP + X-Frame-Options deny + HSTS 1 an)</t>
        </is>
      </c>
      <c r="B14" s="6" t="inlineStr">
        <is>
          <t>IMP-SEC-11</t>
        </is>
      </c>
      <c r="C14" s="6" t="inlineStr">
        <is>
          <t>Authentification &amp; Sécurité</t>
        </is>
      </c>
      <c r="D14" s="6" t="inlineStr">
        <is>
          <t>Production</t>
        </is>
      </c>
      <c r="E14" s="6" t="inlineStr">
        <is>
          <t>server.ts</t>
        </is>
      </c>
      <c r="F14" s="6" t="inlineStr">
        <is>
          <t>Déc 2025</t>
        </is>
      </c>
    </row>
    <row r="15">
      <c r="A15" s="6" t="inlineStr">
        <is>
          <t>Socket.IO CORS fermé par défaut (production)</t>
        </is>
      </c>
      <c r="B15" s="6" t="inlineStr">
        <is>
          <t>IMP-SEC-12</t>
        </is>
      </c>
      <c r="C15" s="6" t="inlineStr">
        <is>
          <t>Authentification &amp; Sécurité</t>
        </is>
      </c>
      <c r="D15" s="6" t="inlineStr">
        <is>
          <t>Production</t>
        </is>
      </c>
      <c r="E15" s="6" t="inlineStr">
        <is>
          <t>socket.service.ts</t>
        </is>
      </c>
      <c r="F15" s="6" t="inlineStr">
        <is>
          <t>Déc 2025</t>
        </is>
      </c>
    </row>
    <row r="16">
      <c r="A16" s="6" t="inlineStr">
        <is>
          <t>Pages légales intégrées (CGU + CGV + Politique de confidentialité + Registre GDPR)</t>
        </is>
      </c>
      <c r="B16" s="6" t="inlineStr">
        <is>
          <t>IMP-SEC-13</t>
        </is>
      </c>
      <c r="C16" s="6" t="inlineStr">
        <is>
          <t>Authentification &amp; Sécurité</t>
        </is>
      </c>
      <c r="D16" s="6" t="inlineStr">
        <is>
          <t>Production</t>
        </is>
      </c>
      <c r="E16" s="6" t="inlineStr">
        <is>
          <t>/legal/privacy; /legal/terms</t>
        </is>
      </c>
      <c r="F16" s="6" t="inlineStr">
        <is>
          <t>Déc 2025</t>
        </is>
      </c>
    </row>
    <row r="17">
      <c r="A17" s="6" t="inlineStr">
        <is>
          <t>Upload vidéo avec vérification checksum (SHA-256)</t>
        </is>
      </c>
      <c r="B17" s="6" t="inlineStr">
        <is>
          <t>IMP-VID-01</t>
        </is>
      </c>
      <c r="C17" s="6" t="inlineStr">
        <is>
          <t>Gestion de Contenu &amp; Vidéo</t>
        </is>
      </c>
      <c r="D17" s="6" t="inlineStr">
        <is>
          <t>Production</t>
        </is>
      </c>
      <c r="E17" s="6" t="inlineStr">
        <is>
          <t>content.controller.ts, upload-verification.service.ts</t>
        </is>
      </c>
      <c r="F17" s="6" t="inlineStr">
        <is>
          <t>2025</t>
        </is>
      </c>
    </row>
    <row r="18">
      <c r="A18" s="6" t="inlineStr">
        <is>
          <t>Compression vidéo automatique</t>
        </is>
      </c>
      <c r="B18" s="6" t="inlineStr">
        <is>
          <t>IMP-VID-02</t>
        </is>
      </c>
      <c r="C18" s="6" t="inlineStr">
        <is>
          <t>Gestion de Contenu &amp; Vidéo</t>
        </is>
      </c>
      <c r="D18" s="6" t="inlineStr">
        <is>
          <t>Production</t>
        </is>
      </c>
      <c r="E18" s="6" t="inlineStr">
        <is>
          <t>video-compression.service.ts</t>
        </is>
      </c>
      <c r="F18" s="6" t="inlineStr">
        <is>
          <t>2025</t>
        </is>
      </c>
    </row>
    <row r="19">
      <c r="A19" s="6" t="inlineStr">
        <is>
          <t>Conversion image vers vidéo (ffmpeg + JPG/PNG/WEBP → MP4)</t>
        </is>
      </c>
      <c r="B19" s="6" t="inlineStr">
        <is>
          <t>IMP-VID-03</t>
        </is>
      </c>
      <c r="C19" s="6" t="inlineStr">
        <is>
          <t>Gestion de Contenu &amp; Vidéo</t>
        </is>
      </c>
      <c r="D19" s="6" t="inlineStr">
        <is>
          <t>Production</t>
        </is>
      </c>
      <c r="E19" s="6" t="inlineStr">
        <is>
          <t>image-to-video.service.ts</t>
        </is>
      </c>
      <c r="F19" s="6" t="inlineStr">
        <is>
          <t>v2.44.0 Jan 2026</t>
        </is>
      </c>
    </row>
    <row r="20">
      <c r="A20" s="6" t="inlineStr">
        <is>
          <t>Conversion image vers vidéo : option fond flouté</t>
        </is>
      </c>
      <c r="B20" s="6" t="inlineStr">
        <is>
          <t>IMP-VID-04</t>
        </is>
      </c>
      <c r="C20" s="6" t="inlineStr">
        <is>
          <t>Gestion de Contenu &amp; Vidéo</t>
        </is>
      </c>
      <c r="D20" s="6" t="inlineStr">
        <is>
          <t>Production</t>
        </is>
      </c>
      <c r="E20" s="6" t="inlineStr">
        <is>
          <t>image-to-video.service.ts</t>
        </is>
      </c>
      <c r="F20" s="6" t="inlineStr">
        <is>
          <t>Jan 2026</t>
        </is>
      </c>
    </row>
    <row r="21">
      <c r="A21" s="6" t="inlineStr">
        <is>
          <t>Miniatures automatiques</t>
        </is>
      </c>
      <c r="B21" s="6" t="inlineStr">
        <is>
          <t>IMP-VID-05</t>
        </is>
      </c>
      <c r="C21" s="6" t="inlineStr">
        <is>
          <t>Gestion de Contenu &amp; Vidéo</t>
        </is>
      </c>
      <c r="D21" s="6" t="inlineStr">
        <is>
          <t>Production</t>
        </is>
      </c>
      <c r="E21" s="6" t="inlineStr">
        <is>
          <t>thumbnail.service.ts</t>
        </is>
      </c>
      <c r="F21" s="6" t="inlineStr">
        <is>
          <t>2025</t>
        </is>
      </c>
    </row>
    <row r="22">
      <c r="A22" s="6" t="inlineStr">
        <is>
          <t>Stockage unifié FTP (Hostinger)</t>
        </is>
      </c>
      <c r="B22" s="6" t="inlineStr">
        <is>
          <t>IMP-VID-06</t>
        </is>
      </c>
      <c r="C22" s="6" t="inlineStr">
        <is>
          <t>Gestion de Contenu &amp; Vidéo</t>
        </is>
      </c>
      <c r="D22" s="6" t="inlineStr">
        <is>
          <t>Production</t>
        </is>
      </c>
      <c r="E22" s="6" t="inlineStr">
        <is>
          <t>storage.service.ts</t>
        </is>
      </c>
      <c r="F22" s="6" t="inlineStr">
        <is>
          <t>2025</t>
        </is>
      </c>
    </row>
    <row r="23">
      <c r="A23" s="6" t="inlineStr">
        <is>
          <t>Versioning brouillon de config (sauvegarder avant déployer)</t>
        </is>
      </c>
      <c r="B23" s="6" t="inlineStr">
        <is>
          <t>IMP-VID-07</t>
        </is>
      </c>
      <c r="C23" s="6" t="inlineStr">
        <is>
          <t>Gestion de Contenu &amp; Vidéo</t>
        </is>
      </c>
      <c r="D23" s="6" t="inlineStr">
        <is>
          <t>Production</t>
        </is>
      </c>
      <c r="E23" s="6" t="inlineStr">
        <is>
          <t>draft.service.ts, drafts.controller.ts</t>
        </is>
      </c>
      <c r="F23" s="6" t="inlineStr">
        <is>
          <t>Déc 2025</t>
        </is>
      </c>
    </row>
    <row r="24">
      <c r="A24" s="6" t="inlineStr">
        <is>
          <t>Gestion des assets (logos + images)</t>
        </is>
      </c>
      <c r="B24" s="6" t="inlineStr">
        <is>
          <t>IMP-VID-08</t>
        </is>
      </c>
      <c r="C24" s="6" t="inlineStr">
        <is>
          <t>Gestion de Contenu &amp; Vidéo</t>
        </is>
      </c>
      <c r="D24" s="6" t="inlineStr">
        <is>
          <t>Production</t>
        </is>
      </c>
      <c r="E24" s="6" t="inlineStr">
        <is>
          <t>assets.controller.ts, asset.service.ts</t>
        </is>
      </c>
      <c r="F24" s="6" t="inlineStr">
        <is>
          <t>2025</t>
        </is>
      </c>
    </row>
    <row r="25">
      <c r="A25" s="6" t="inlineStr">
        <is>
          <t>Pagination côté serveur pour listing vidéos</t>
        </is>
      </c>
      <c r="B25" s="6" t="inlineStr">
        <is>
          <t>IMP-VID-09</t>
        </is>
      </c>
      <c r="C25" s="6" t="inlineStr">
        <is>
          <t>Gestion de Contenu &amp; Vidéo</t>
        </is>
      </c>
      <c r="D25" s="6" t="inlineStr">
        <is>
          <t>Production</t>
        </is>
      </c>
      <c r="E25" s="6" t="inlineStr">
        <is>
          <t>content.controller.ts</t>
        </is>
      </c>
      <c r="F25" s="6" t="inlineStr">
        <is>
          <t>v3.56.0</t>
        </is>
      </c>
    </row>
    <row r="26">
      <c r="A26" s="6" t="inlineStr">
        <is>
          <t>Prévisualisation vidéo dans page gestion contenu</t>
        </is>
      </c>
      <c r="B26" s="6" t="inlineStr">
        <is>
          <t>IMP-VID-10</t>
        </is>
      </c>
      <c r="C26" s="6" t="inlineStr">
        <is>
          <t>Gestion de Contenu &amp; Vidéo</t>
        </is>
      </c>
      <c r="D26" s="6" t="inlineStr">
        <is>
          <t>Production</t>
        </is>
      </c>
      <c r="E26" s="6" t="inlineStr">
        <is>
          <t>content-management.component.ts</t>
        </is>
      </c>
      <c r="F26" s="6" t="inlineStr">
        <is>
          <t>2025</t>
        </is>
      </c>
    </row>
    <row r="27">
      <c r="A27" s="6" t="inlineStr">
        <is>
          <t>Historique config avec détail dépliable et restauration</t>
        </is>
      </c>
      <c r="B27" s="6" t="inlineStr">
        <is>
          <t>IMP-VID-11</t>
        </is>
      </c>
      <c r="C27" s="6" t="inlineStr">
        <is>
          <t>Gestion de Contenu &amp; Vidéo</t>
        </is>
      </c>
      <c r="D27" s="6" t="inlineStr">
        <is>
          <t>Production</t>
        </is>
      </c>
      <c r="E27" s="6" t="inlineStr">
        <is>
          <t>config-history.component.ts</t>
        </is>
      </c>
      <c r="F27" s="6" t="inlineStr">
        <is>
          <t>v3.57.0</t>
        </is>
      </c>
    </row>
    <row r="28">
      <c r="A28" s="6" t="inlineStr">
        <is>
          <t>Restructuration UX onglet Contenu (ADR-022 + P0→P3)</t>
        </is>
      </c>
      <c r="B28" s="6" t="inlineStr">
        <is>
          <t>IMP-VID-12</t>
        </is>
      </c>
      <c r="C28" s="6" t="inlineStr">
        <is>
          <t>Gestion de Contenu &amp; Vidéo</t>
        </is>
      </c>
      <c r="D28" s="6" t="inlineStr">
        <is>
          <t>Production</t>
        </is>
      </c>
      <c r="E28" s="6" t="inlineStr">
        <is>
          <t>content-tab.component.ts</t>
        </is>
      </c>
      <c r="F28" s="6" t="inlineStr">
        <is>
          <t>2026</t>
        </is>
      </c>
    </row>
    <row r="29">
      <c r="A29" s="6" t="inlineStr">
        <is>
          <t>Historique des modifications dans onglet Contenu (P3-3)</t>
        </is>
      </c>
      <c r="B29" s="6" t="inlineStr">
        <is>
          <t>IMP-VID-13</t>
        </is>
      </c>
      <c r="C29" s="6" t="inlineStr">
        <is>
          <t>Gestion de Contenu &amp; Vidéo</t>
        </is>
      </c>
      <c r="D29" s="6" t="inlineStr">
        <is>
          <t>Production</t>
        </is>
      </c>
      <c r="E29" s="6" t="inlineStr">
        <is>
          <t>-</t>
        </is>
      </c>
      <c r="F29" s="6" t="inlineStr">
        <is>
          <t>2026</t>
        </is>
      </c>
    </row>
    <row r="30">
      <c r="A30" s="6" t="inlineStr">
        <is>
          <t>Overlay V2 Multi-Sport (6 sports + 9 positions)</t>
        </is>
      </c>
      <c r="B30" s="6" t="inlineStr">
        <is>
          <t>IMP-OVR-01</t>
        </is>
      </c>
      <c r="C30" s="6" t="inlineStr">
        <is>
          <t>Score en Direct &amp; Overlays</t>
        </is>
      </c>
      <c r="D30" s="6" t="inlineStr">
        <is>
          <t>Production</t>
        </is>
      </c>
      <c r="E30" s="6" t="inlineStr">
        <is>
          <t>local-options.service.ts, tv.component.ts</t>
        </is>
      </c>
      <c r="F30" s="6" t="inlineStr">
        <is>
          <t>Déc 2025</t>
        </is>
      </c>
    </row>
    <row r="31">
      <c r="A31" s="6" t="inlineStr">
        <is>
          <t>Overlay local (chronomètre + bandeau info + popup but + 3 templates)</t>
        </is>
      </c>
      <c r="B31" s="6" t="inlineStr">
        <is>
          <t>IMP-OVR-02</t>
        </is>
      </c>
      <c r="C31" s="6" t="inlineStr">
        <is>
          <t>Score en Direct &amp; Overlays</t>
        </is>
      </c>
      <c r="D31" s="6" t="inlineStr">
        <is>
          <t>Production</t>
        </is>
      </c>
      <c r="E31" s="6" t="inlineStr">
        <is>
          <t>local-broadcast.service.ts</t>
        </is>
      </c>
      <c r="F31" s="6" t="inlineStr">
        <is>
          <t>Déc 2025</t>
        </is>
      </c>
    </row>
    <row r="32">
      <c r="A32" s="6" t="inlineStr">
        <is>
          <t>Overlay score simplifié : 2 thèmes CSS broadcast</t>
        </is>
      </c>
      <c r="B32" s="6" t="inlineStr">
        <is>
          <t>IMP-OVR-03</t>
        </is>
      </c>
      <c r="C32" s="6" t="inlineStr">
        <is>
          <t>Score en Direct &amp; Overlays</t>
        </is>
      </c>
      <c r="D32" s="6" t="inlineStr">
        <is>
          <t>Production</t>
        </is>
      </c>
      <c r="E32" s="6" t="inlineStr">
        <is>
          <t>overlay.component.ts</t>
        </is>
      </c>
      <c r="F32" s="6" t="inlineStr">
        <is>
          <t>v3.50.0</t>
        </is>
      </c>
    </row>
    <row r="33">
      <c r="A33" s="6" t="inlineStr">
        <is>
          <t>Score en direct avec overlay + popup</t>
        </is>
      </c>
      <c r="B33" s="6" t="inlineStr">
        <is>
          <t>IMP-OVR-04</t>
        </is>
      </c>
      <c r="C33" s="6" t="inlineStr">
        <is>
          <t>Score en Direct &amp; Overlays</t>
        </is>
      </c>
      <c r="D33" s="6" t="inlineStr">
        <is>
          <t>Production</t>
        </is>
      </c>
      <c r="E33" s="6" t="inlineStr">
        <is>
          <t>-</t>
        </is>
      </c>
      <c r="F33" s="6" t="inlineStr">
        <is>
          <t>Déc 2025</t>
        </is>
      </c>
    </row>
    <row r="34">
      <c r="A34" s="6" t="inlineStr">
        <is>
          <t>Personnalisation overlay score depuis dashboard central</t>
        </is>
      </c>
      <c r="B34" s="6" t="inlineStr">
        <is>
          <t>IMP-OVR-05</t>
        </is>
      </c>
      <c r="C34" s="6" t="inlineStr">
        <is>
          <t>Score en Direct &amp; Overlays</t>
        </is>
      </c>
      <c r="D34" s="6" t="inlineStr">
        <is>
          <t>Production</t>
        </is>
      </c>
      <c r="E34" s="6" t="inlineStr">
        <is>
          <t>-</t>
        </is>
      </c>
      <c r="F34" s="6" t="inlineStr">
        <is>
          <t>Déc 2025</t>
        </is>
      </c>
    </row>
    <row r="35">
      <c r="A35" s="6" t="inlineStr">
        <is>
          <t>Upload logos équipes et affichage dans overlay</t>
        </is>
      </c>
      <c r="B35" s="6" t="inlineStr">
        <is>
          <t>IMP-OVR-06</t>
        </is>
      </c>
      <c r="C35" s="6" t="inlineStr">
        <is>
          <t>Score en Direct &amp; Overlays</t>
        </is>
      </c>
      <c r="D35" s="6" t="inlineStr">
        <is>
          <t>Production</t>
        </is>
      </c>
      <c r="E35" s="6" t="inlineStr">
        <is>
          <t>-</t>
        </is>
      </c>
      <c r="F35" s="6" t="inlineStr">
        <is>
          <t>Déc 2025</t>
        </is>
      </c>
    </row>
    <row r="36">
      <c r="A36" s="6" t="inlineStr">
        <is>
          <t>Presets overlay (templates de configuration réutilisables)</t>
        </is>
      </c>
      <c r="B36" s="6" t="inlineStr">
        <is>
          <t>IMP-OVR-07</t>
        </is>
      </c>
      <c r="C36" s="6" t="inlineStr">
        <is>
          <t>Score en Direct &amp; Overlays</t>
        </is>
      </c>
      <c r="D36" s="6" t="inlineStr">
        <is>
          <t>Production</t>
        </is>
      </c>
      <c r="E36" s="6" t="inlineStr">
        <is>
          <t>-</t>
        </is>
      </c>
      <c r="F36" s="6" t="inlineStr">
        <is>
          <t>Déc 2025</t>
        </is>
      </c>
    </row>
    <row r="37">
      <c r="A37" s="6" t="inlineStr">
        <is>
          <t>Bandeau d'informations défilant (scroll/truncate/multiline)</t>
        </is>
      </c>
      <c r="B37" s="6" t="inlineStr">
        <is>
          <t>IMP-OVR-08</t>
        </is>
      </c>
      <c r="C37" s="6" t="inlineStr">
        <is>
          <t>Score en Direct &amp; Overlays</t>
        </is>
      </c>
      <c r="D37" s="6" t="inlineStr">
        <is>
          <t>Production</t>
        </is>
      </c>
      <c r="E37" s="6" t="inlineStr">
        <is>
          <t>-</t>
        </is>
      </c>
      <c r="F37" s="6" t="inlineStr">
        <is>
          <t>Déc 2025</t>
        </is>
      </c>
    </row>
    <row r="38">
      <c r="A38" s="6" t="inlineStr">
        <is>
          <t>Animation but (popup/plein écran/slide)</t>
        </is>
      </c>
      <c r="B38" s="6" t="inlineStr">
        <is>
          <t>IMP-OVR-09</t>
        </is>
      </c>
      <c r="C38" s="6" t="inlineStr">
        <is>
          <t>Score en Direct &amp; Overlays</t>
        </is>
      </c>
      <c r="D38" s="6" t="inlineStr">
        <is>
          <t>Production</t>
        </is>
      </c>
      <c r="E38" s="6" t="inlineStr">
        <is>
          <t>-</t>
        </is>
      </c>
      <c r="F38" s="6" t="inlineStr">
        <is>
          <t>Déc 2025</t>
        </is>
      </c>
    </row>
    <row r="39">
      <c r="A39" s="6" t="inlineStr">
        <is>
          <t>Chronomètre intégré avec score</t>
        </is>
      </c>
      <c r="B39" s="6" t="inlineStr">
        <is>
          <t>IMP-OVR-10</t>
        </is>
      </c>
      <c r="C39" s="6" t="inlineStr">
        <is>
          <t>Score en Direct &amp; Overlays</t>
        </is>
      </c>
      <c r="D39" s="6" t="inlineStr">
        <is>
          <t>Production</t>
        </is>
      </c>
      <c r="E39" s="6" t="inlineStr">
        <is>
          <t>-</t>
        </is>
      </c>
      <c r="F39" s="6" t="inlineStr">
        <is>
          <t>Déc 2025</t>
        </is>
      </c>
    </row>
    <row r="40">
      <c r="A40" s="6" t="inlineStr">
        <is>
          <t>Déploiement vidéo avec retry (3 max + backoff 5min)</t>
        </is>
      </c>
      <c r="B40" s="6" t="inlineStr">
        <is>
          <t>IMP-DEP-01</t>
        </is>
      </c>
      <c r="C40" s="6" t="inlineStr">
        <is>
          <t>Déploiement &amp; OTA</t>
        </is>
      </c>
      <c r="D40" s="6" t="inlineStr">
        <is>
          <t>Production</t>
        </is>
      </c>
      <c r="E40" s="6" t="inlineStr">
        <is>
          <t>deployment.service.ts</t>
        </is>
      </c>
      <c r="F40" s="6" t="inlineStr">
        <is>
          <t>2025</t>
        </is>
      </c>
    </row>
    <row r="41">
      <c r="A41" s="6" t="inlineStr">
        <is>
          <t>Déploiement orchestré multi-sites</t>
        </is>
      </c>
      <c r="B41" s="6" t="inlineStr">
        <is>
          <t>IMP-DEP-02</t>
        </is>
      </c>
      <c r="C41" s="6" t="inlineStr">
        <is>
          <t>Déploiement &amp; OTA</t>
        </is>
      </c>
      <c r="D41" s="6" t="inlineStr">
        <is>
          <t>Production</t>
        </is>
      </c>
      <c r="E41" s="6" t="inlineStr">
        <is>
          <t>orchestrated-deployment.service.ts</t>
        </is>
      </c>
      <c r="F41" s="6" t="inlineStr">
        <is>
          <t>2025</t>
        </is>
      </c>
    </row>
    <row r="42">
      <c r="A42" s="6" t="inlineStr">
        <is>
          <t>Déploiement canary progressif (10→25→50→75→100%)</t>
        </is>
      </c>
      <c r="B42" s="6" t="inlineStr">
        <is>
          <t>IMP-DEP-03</t>
        </is>
      </c>
      <c r="C42" s="6" t="inlineStr">
        <is>
          <t>Déploiement &amp; OTA</t>
        </is>
      </c>
      <c r="D42" s="6" t="inlineStr">
        <is>
          <t>Production</t>
        </is>
      </c>
      <c r="E42" s="6" t="inlineStr">
        <is>
          <t>canary-deployment.service.ts</t>
        </is>
      </c>
      <c r="F42" s="6" t="inlineStr">
        <is>
          <t>2025</t>
        </is>
      </c>
    </row>
    <row r="43">
      <c r="A43" s="6" t="inlineStr">
        <is>
          <t>Mises à jour logicielles OTA avec planification redémarrage</t>
        </is>
      </c>
      <c r="B43" s="6" t="inlineStr">
        <is>
          <t>IMP-DEP-04</t>
        </is>
      </c>
      <c r="C43" s="6" t="inlineStr">
        <is>
          <t>Déploiement &amp; OTA</t>
        </is>
      </c>
      <c r="D43" s="6" t="inlineStr">
        <is>
          <t>Production</t>
        </is>
      </c>
      <c r="E43" s="6" t="inlineStr">
        <is>
          <t>update-deployment.service.ts, updates.controller.ts</t>
        </is>
      </c>
      <c r="F43" s="6" t="inlineStr">
        <is>
          <t>2025</t>
        </is>
      </c>
    </row>
    <row r="44">
      <c r="A44" s="6" t="inlineStr">
        <is>
          <t>File de commandes (commandes pour Pi hors-ligne)</t>
        </is>
      </c>
      <c r="B44" s="6" t="inlineStr">
        <is>
          <t>IMP-DEP-05</t>
        </is>
      </c>
      <c r="C44" s="6" t="inlineStr">
        <is>
          <t>Déploiement &amp; OTA</t>
        </is>
      </c>
      <c r="D44" s="6" t="inlineStr">
        <is>
          <t>Production</t>
        </is>
      </c>
      <c r="E44" s="6" t="inlineStr">
        <is>
          <t>command-queue.service.ts</t>
        </is>
      </c>
      <c r="F44" s="6" t="inlineStr">
        <is>
          <t>2025</t>
        </is>
      </c>
    </row>
    <row r="45">
      <c r="A45" s="6" t="inlineStr">
        <is>
          <t>Déploiements planifiés (date/heure)</t>
        </is>
      </c>
      <c r="B45" s="6" t="inlineStr">
        <is>
          <t>IMP-DEP-06</t>
        </is>
      </c>
      <c r="C45" s="6" t="inlineStr">
        <is>
          <t>Déploiement &amp; OTA</t>
        </is>
      </c>
      <c r="D45" s="6" t="inlineStr">
        <is>
          <t>Production</t>
        </is>
      </c>
      <c r="E45" s="6" t="inlineStr">
        <is>
          <t>deployment.service.ts</t>
        </is>
      </c>
      <c r="F45" s="6" t="inlineStr">
        <is>
          <t>2025</t>
        </is>
      </c>
    </row>
    <row r="46">
      <c r="A46" s="6" t="inlineStr">
        <is>
          <t>File de déploiement vidéo (pattern sendOrQueue)</t>
        </is>
      </c>
      <c r="B46" s="6" t="inlineStr">
        <is>
          <t>IMP-DEP-07</t>
        </is>
      </c>
      <c r="C46" s="6" t="inlineStr">
        <is>
          <t>Déploiement &amp; OTA</t>
        </is>
      </c>
      <c r="D46" s="6" t="inlineStr">
        <is>
          <t>Production</t>
        </is>
      </c>
      <c r="E46" s="6" t="inlineStr">
        <is>
          <t>deployment.service.ts</t>
        </is>
      </c>
      <c r="F46" s="6" t="inlineStr">
        <is>
          <t>Jan 2026</t>
        </is>
      </c>
    </row>
    <row r="47">
      <c r="A47" s="6" t="inlineStr">
        <is>
          <t>OTA planification redémarrage + rollback automatique</t>
        </is>
      </c>
      <c r="B47" s="6" t="inlineStr">
        <is>
          <t>IMP-DEP-08</t>
        </is>
      </c>
      <c r="C47" s="6" t="inlineStr">
        <is>
          <t>Déploiement &amp; OTA</t>
        </is>
      </c>
      <c r="D47" s="6" t="inlineStr">
        <is>
          <t>Production</t>
        </is>
      </c>
      <c r="E47" s="6" t="inlineStr">
        <is>
          <t>update-deployment.service.ts</t>
        </is>
      </c>
      <c r="F47" s="6" t="inlineStr">
        <is>
          <t>v3.55.0</t>
        </is>
      </c>
    </row>
    <row r="48">
      <c r="A48" s="6" t="inlineStr">
        <is>
          <t>Exécuteur de migration + retry checksum OTA</t>
        </is>
      </c>
      <c r="B48" s="6" t="inlineStr">
        <is>
          <t>IMP-DEP-09</t>
        </is>
      </c>
      <c r="C48" s="6" t="inlineStr">
        <is>
          <t>Déploiement &amp; OTA</t>
        </is>
      </c>
      <c r="D48" s="6" t="inlineStr">
        <is>
          <t>Production</t>
        </is>
      </c>
      <c r="E48" s="6" t="inlineStr">
        <is>
          <t>migration-runner.js</t>
        </is>
      </c>
      <c r="F48" s="6" t="inlineStr">
        <is>
          <t>v3.55.0</t>
        </is>
      </c>
    </row>
    <row r="49">
      <c r="A49" s="6" t="inlineStr">
        <is>
          <t>Diagnostic santé Pi complet (mode JSON)</t>
        </is>
      </c>
      <c r="B49" s="6" t="inlineStr">
        <is>
          <t>IMP-DEP-10</t>
        </is>
      </c>
      <c r="C49" s="6" t="inlineStr">
        <is>
          <t>Déploiement &amp; OTA</t>
        </is>
      </c>
      <c r="D49" s="6" t="inlineStr">
        <is>
          <t>Production</t>
        </is>
      </c>
      <c r="E49" s="6" t="inlineStr">
        <is>
          <t>health-diagnostic.js</t>
        </is>
      </c>
      <c r="F49" s="6" t="inlineStr">
        <is>
          <t>2026</t>
        </is>
      </c>
    </row>
    <row r="50">
      <c r="A50" s="6" t="inlineStr">
        <is>
          <t>Scripts pré-migration (fix ownership + copie VERSION)</t>
        </is>
      </c>
      <c r="B50" s="6" t="inlineStr">
        <is>
          <t>IMP-DEP-11</t>
        </is>
      </c>
      <c r="C50" s="6" t="inlineStr">
        <is>
          <t>Déploiement &amp; OTA</t>
        </is>
      </c>
      <c r="D50" s="6" t="inlineStr">
        <is>
          <t>Production</t>
        </is>
      </c>
      <c r="E50" s="6" t="inlineStr">
        <is>
          <t>pre-migration.sh</t>
        </is>
      </c>
      <c r="F50" s="6" t="inlineStr">
        <is>
          <t>v3.55.x</t>
        </is>
      </c>
    </row>
    <row r="51">
      <c r="A51" s="6" t="inlineStr">
        <is>
          <t>Scripts install/setup/build renforcés</t>
        </is>
      </c>
      <c r="B51" s="6" t="inlineStr">
        <is>
          <t>IMP-DEP-12</t>
        </is>
      </c>
      <c r="C51" s="6" t="inlineStr">
        <is>
          <t>Déploiement &amp; OTA</t>
        </is>
      </c>
      <c r="D51" s="6" t="inlineStr">
        <is>
          <t>Production</t>
        </is>
      </c>
      <c r="E51" s="6" t="inlineStr">
        <is>
          <t>install.sh, setup.sh, build-raspberry.sh</t>
        </is>
      </c>
      <c r="F51" s="6" t="inlineStr">
        <is>
          <t>2026</t>
        </is>
      </c>
    </row>
    <row r="52">
      <c r="A52" s="6" t="inlineStr">
        <is>
          <t>Système d'abonnements 3 tiers (Essentiel/Autonomie/Premium)</t>
        </is>
      </c>
      <c r="B52" s="6" t="inlineStr">
        <is>
          <t>IMP-MON-01</t>
        </is>
      </c>
      <c r="C52" s="6" t="inlineStr">
        <is>
          <t>Monétisation &amp; Sponsors</t>
        </is>
      </c>
      <c r="D52" s="6" t="inlineStr">
        <is>
          <t>Production</t>
        </is>
      </c>
      <c r="E52" s="6" t="inlineStr">
        <is>
          <t>subscription.service.ts, subscription.controller.ts</t>
        </is>
      </c>
      <c r="F52" s="6" t="inlineStr">
        <is>
          <t>Déc 2025</t>
        </is>
      </c>
    </row>
    <row r="53">
      <c r="A53" s="6" t="inlineStr">
        <is>
          <t>Facturation mensuelle (export CSV/JSON)</t>
        </is>
      </c>
      <c r="B53" s="6" t="inlineStr">
        <is>
          <t>IMP-MON-02</t>
        </is>
      </c>
      <c r="C53" s="6" t="inlineStr">
        <is>
          <t>Monétisation &amp; Sponsors</t>
        </is>
      </c>
      <c r="D53" s="6" t="inlineStr">
        <is>
          <t>Production</t>
        </is>
      </c>
      <c r="E53" s="6" t="inlineStr">
        <is>
          <t>billing.service.ts, billing.controller.ts</t>
        </is>
      </c>
      <c r="F53" s="6" t="inlineStr">
        <is>
          <t>Déc 2025</t>
        </is>
      </c>
    </row>
    <row r="54">
      <c r="A54" s="6" t="inlineStr">
        <is>
          <t>Portail annonceur (upload vidéos + analytics + compte)</t>
        </is>
      </c>
      <c r="B54" s="6" t="inlineStr">
        <is>
          <t>IMP-MON-03</t>
        </is>
      </c>
      <c r="C54" s="6" t="inlineStr">
        <is>
          <t>Monétisation &amp; Sponsors</t>
        </is>
      </c>
      <c r="D54" s="6" t="inlineStr">
        <is>
          <t>Production</t>
        </is>
      </c>
      <c r="E54" s="6" t="inlineStr">
        <is>
          <t>advertiser-portal.controller.ts</t>
        </is>
      </c>
      <c r="F54" s="6" t="inlineStr">
        <is>
          <t>Déc 2025</t>
        </is>
      </c>
    </row>
    <row r="55">
      <c r="A55" s="6" t="inlineStr">
        <is>
          <t>Portail sponsor lien magique (accès token sans login)</t>
        </is>
      </c>
      <c r="B55" s="6" t="inlineStr">
        <is>
          <t>IMP-MON-04</t>
        </is>
      </c>
      <c r="C55" s="6" t="inlineStr">
        <is>
          <t>Monétisation &amp; Sponsors</t>
        </is>
      </c>
      <c r="D55" s="6" t="inlineStr">
        <is>
          <t>Production</t>
        </is>
      </c>
      <c r="E55" s="6" t="inlineStr">
        <is>
          <t>sponsor-access.service.ts, sponsor-portal.controller.ts</t>
        </is>
      </c>
      <c r="F55" s="6" t="inlineStr">
        <is>
          <t>Déc 2025</t>
        </is>
      </c>
    </row>
    <row r="56">
      <c r="A56" s="6" t="inlineStr">
        <is>
          <t>Portail agence (gestion multi-annonceurs)</t>
        </is>
      </c>
      <c r="B56" s="6" t="inlineStr">
        <is>
          <t>IMP-MON-05</t>
        </is>
      </c>
      <c r="C56" s="6" t="inlineStr">
        <is>
          <t>Monétisation &amp; Sponsors</t>
        </is>
      </c>
      <c r="D56" s="6" t="inlineStr">
        <is>
          <t>Production</t>
        </is>
      </c>
      <c r="E56" s="6" t="inlineStr">
        <is>
          <t>agency.controller.ts</t>
        </is>
      </c>
      <c r="F56" s="6" t="inlineStr">
        <is>
          <t>Déc 2025</t>
        </is>
      </c>
    </row>
    <row r="57">
      <c r="A57" s="6" t="inlineStr">
        <is>
          <t>Association site-sponsor</t>
        </is>
      </c>
      <c r="B57" s="6" t="inlineStr">
        <is>
          <t>IMP-MON-06</t>
        </is>
      </c>
      <c r="C57" s="6" t="inlineStr">
        <is>
          <t>Monétisation &amp; Sponsors</t>
        </is>
      </c>
      <c r="D57" s="6" t="inlineStr">
        <is>
          <t>Production</t>
        </is>
      </c>
      <c r="E57" s="6" t="inlineStr">
        <is>
          <t>site-sponsor.repository.ts, site-sponsor.controller.ts</t>
        </is>
      </c>
      <c r="F57" s="6" t="inlineStr">
        <is>
          <t>2025</t>
        </is>
      </c>
    </row>
    <row r="58">
      <c r="A58" s="6" t="inlineStr">
        <is>
          <t>Migration Sponsor → Annonceur (sémantique métier)</t>
        </is>
      </c>
      <c r="B58" s="6" t="inlineStr">
        <is>
          <t>IMP-MON-07</t>
        </is>
      </c>
      <c r="C58" s="6" t="inlineStr">
        <is>
          <t>Monétisation &amp; Sponsors</t>
        </is>
      </c>
      <c r="D58" s="6" t="inlineStr">
        <is>
          <t>Production</t>
        </is>
      </c>
      <c r="E58" s="6" t="inlineStr">
        <is>
          <t>rename-sponsor-to-advertiser.sql</t>
        </is>
      </c>
      <c r="F58" s="6" t="inlineStr">
        <is>
          <t>Déc 2025</t>
        </is>
      </c>
    </row>
    <row r="59">
      <c r="A59" s="6" t="inlineStr">
        <is>
          <t>Preuve de diffusion (capture + certificat)</t>
        </is>
      </c>
      <c r="B59" s="6" t="inlineStr">
        <is>
          <t>IMP-MON-08</t>
        </is>
      </c>
      <c r="C59" s="6" t="inlineStr">
        <is>
          <t>Monétisation &amp; Sponsors</t>
        </is>
      </c>
      <c r="D59" s="6" t="inlineStr">
        <is>
          <t>Production</t>
        </is>
      </c>
      <c r="E59" s="6" t="inlineStr">
        <is>
          <t>add-proof-of-broadcasts.sql, proof.service.ts</t>
        </is>
      </c>
      <c r="F59" s="6" t="inlineStr">
        <is>
          <t>2025</t>
        </is>
      </c>
    </row>
    <row r="60">
      <c r="A60" s="6" t="inlineStr">
        <is>
          <t>Métriques sponsors cross-réseau</t>
        </is>
      </c>
      <c r="B60" s="6" t="inlineStr">
        <is>
          <t>IMP-MON-09</t>
        </is>
      </c>
      <c r="C60" s="6" t="inlineStr">
        <is>
          <t>Monétisation &amp; Sponsors</t>
        </is>
      </c>
      <c r="D60" s="6" t="inlineStr">
        <is>
          <t>Production</t>
        </is>
      </c>
      <c r="E60" s="6" t="inlineStr">
        <is>
          <t>network-sponsor.routes.ts</t>
        </is>
      </c>
      <c r="F60" s="6" t="inlineStr">
        <is>
          <t>2025</t>
        </is>
      </c>
    </row>
    <row r="61">
      <c r="A61" s="6" t="inlineStr">
        <is>
          <t>Interface association vidéo-sponsor (ajout/suppression)</t>
        </is>
      </c>
      <c r="B61" s="6" t="inlineStr">
        <is>
          <t>IMP-MON-10</t>
        </is>
      </c>
      <c r="C61" s="6" t="inlineStr">
        <is>
          <t>Monétisation &amp; Sponsors</t>
        </is>
      </c>
      <c r="D61" s="6" t="inlineStr">
        <is>
          <t>Production</t>
        </is>
      </c>
      <c r="E61" s="6" t="inlineStr">
        <is>
          <t>video-sponsor.component.ts</t>
        </is>
      </c>
      <c r="F61" s="6" t="inlineStr">
        <is>
          <t>v3.59.0</t>
        </is>
      </c>
    </row>
    <row r="62">
      <c r="A62" s="6" t="inlineStr">
        <is>
          <t>Sync dashboard sponsors vers Pi pendant déploiement (P8)</t>
        </is>
      </c>
      <c r="B62" s="6" t="inlineStr">
        <is>
          <t>IMP-MON-11</t>
        </is>
      </c>
      <c r="C62" s="6" t="inlineStr">
        <is>
          <t>Monétisation &amp; Sponsors</t>
        </is>
      </c>
      <c r="D62" s="6" t="inlineStr">
        <is>
          <t>Production</t>
        </is>
      </c>
      <c r="E62" s="6" t="inlineStr">
        <is>
          <t>deployment.service.ts</t>
        </is>
      </c>
      <c r="F62" s="6" t="inlineStr">
        <is>
          <t>v3.60.0</t>
        </is>
      </c>
    </row>
    <row r="63">
      <c r="A63" s="6" t="inlineStr">
        <is>
          <t>Site-sponsors P0-P5 : analytics + branding + liens magiques</t>
        </is>
      </c>
      <c r="B63" s="6" t="inlineStr">
        <is>
          <t>IMP-MON-12</t>
        </is>
      </c>
      <c r="C63" s="6" t="inlineStr">
        <is>
          <t>Monétisation &amp; Sponsors</t>
        </is>
      </c>
      <c r="D63" s="6" t="inlineStr">
        <is>
          <t>Production</t>
        </is>
      </c>
      <c r="E63" s="6" t="inlineStr">
        <is>
          <t>site-sponsor.controller.ts</t>
        </is>
      </c>
      <c r="F63" s="6" t="inlineStr">
        <is>
          <t>v3.53.0</t>
        </is>
      </c>
    </row>
    <row r="64">
      <c r="A64" s="6" t="inlineStr">
        <is>
          <t>Poussée licence temps réel vers Pi sur changement abonnement</t>
        </is>
      </c>
      <c r="B64" s="6" t="inlineStr">
        <is>
          <t>IMP-MON-13</t>
        </is>
      </c>
      <c r="C64" s="6" t="inlineStr">
        <is>
          <t>Monétisation &amp; Sponsors</t>
        </is>
      </c>
      <c r="D64" s="6" t="inlineStr">
        <is>
          <t>Production</t>
        </is>
      </c>
      <c r="E64" s="6" t="inlineStr">
        <is>
          <t>subscription.service.ts</t>
        </is>
      </c>
      <c r="F64" s="6" t="inlineStr">
        <is>
          <t>2026</t>
        </is>
      </c>
    </row>
    <row r="65">
      <c r="A65" s="6" t="inlineStr">
        <is>
          <t>Interface abonnement : design premium glassmorphism + modal unifié</t>
        </is>
      </c>
      <c r="B65" s="6" t="inlineStr">
        <is>
          <t>IMP-MON-14</t>
        </is>
      </c>
      <c r="C65" s="6" t="inlineStr">
        <is>
          <t>Monétisation &amp; Sponsors</t>
        </is>
      </c>
      <c r="D65" s="6" t="inlineStr">
        <is>
          <t>Production</t>
        </is>
      </c>
      <c r="E65" s="6" t="inlineStr">
        <is>
          <t>subscription.component.ts</t>
        </is>
      </c>
      <c r="F65" s="6" t="inlineStr">
        <is>
          <t>2026</t>
        </is>
      </c>
    </row>
    <row r="66">
      <c r="A66" s="6" t="inlineStr">
        <is>
          <t>Analytics club (santé + engagement + lectures vidéo)</t>
        </is>
      </c>
      <c r="B66" s="6" t="inlineStr">
        <is>
          <t>IMP-ANA-01</t>
        </is>
      </c>
      <c r="C66" s="6" t="inlineStr">
        <is>
          <t>Analytics &amp; Reporting</t>
        </is>
      </c>
      <c r="D66" s="6" t="inlineStr">
        <is>
          <t>Production</t>
        </is>
      </c>
      <c r="E66" s="6" t="inlineStr">
        <is>
          <t>analytics.controller.ts, analytics.repository.ts</t>
        </is>
      </c>
      <c r="F66" s="6" t="inlineStr">
        <is>
          <t>2025</t>
        </is>
      </c>
    </row>
    <row r="67">
      <c r="A67" s="6" t="inlineStr">
        <is>
          <t>Analytics annonceurs (impressions par gymnase/période)</t>
        </is>
      </c>
      <c r="B67" s="6" t="inlineStr">
        <is>
          <t>IMP-ANA-02</t>
        </is>
      </c>
      <c r="C67" s="6" t="inlineStr">
        <is>
          <t>Analytics &amp; Reporting</t>
        </is>
      </c>
      <c r="D67" s="6" t="inlineStr">
        <is>
          <t>Production</t>
        </is>
      </c>
      <c r="E67" s="6" t="inlineStr">
        <is>
          <t>advertiser-analytics.controller.ts</t>
        </is>
      </c>
      <c r="F67" s="6" t="inlineStr">
        <is>
          <t>Déc 2025</t>
        </is>
      </c>
    </row>
    <row r="68">
      <c r="A68" s="6" t="inlineStr">
        <is>
          <t>Rapport PDF club (6 pages avec signature SHA-256)</t>
        </is>
      </c>
      <c r="B68" s="6" t="inlineStr">
        <is>
          <t>IMP-ANA-03</t>
        </is>
      </c>
      <c r="C68" s="6" t="inlineStr">
        <is>
          <t>Analytics &amp; Reporting</t>
        </is>
      </c>
      <c r="D68" s="6" t="inlineStr">
        <is>
          <t>Production</t>
        </is>
      </c>
      <c r="E68" s="6" t="inlineStr">
        <is>
          <t>pdf-report.service.ts</t>
        </is>
      </c>
      <c r="F68" s="6" t="inlineStr">
        <is>
          <t>Déc 2025</t>
        </is>
      </c>
    </row>
    <row r="69">
      <c r="A69" s="6" t="inlineStr">
        <is>
          <t>Rapports mensuels automatisés (PDF + CSV)</t>
        </is>
      </c>
      <c r="B69" s="6" t="inlineStr">
        <is>
          <t>IMP-ANA-04</t>
        </is>
      </c>
      <c r="C69" s="6" t="inlineStr">
        <is>
          <t>Analytics &amp; Reporting</t>
        </is>
      </c>
      <c r="D69" s="6" t="inlineStr">
        <is>
          <t>Production</t>
        </is>
      </c>
      <c r="E69" s="6" t="inlineStr">
        <is>
          <t>monthly-reports.service.ts</t>
        </is>
      </c>
      <c r="F69" s="6" t="inlineStr">
        <is>
          <t>Déc 2025</t>
        </is>
      </c>
    </row>
    <row r="70">
      <c r="A70" s="6" t="inlineStr">
        <is>
          <t>Export Excel analytics</t>
        </is>
      </c>
      <c r="B70" s="6" t="inlineStr">
        <is>
          <t>IMP-ANA-05</t>
        </is>
      </c>
      <c r="C70" s="6" t="inlineStr">
        <is>
          <t>Analytics &amp; Reporting</t>
        </is>
      </c>
      <c r="D70" s="6" t="inlineStr">
        <is>
          <t>Production</t>
        </is>
      </c>
      <c r="E70" s="6" t="inlineStr">
        <is>
          <t>excel-export.service.ts</t>
        </is>
      </c>
      <c r="F70" s="6" t="inlineStr">
        <is>
          <t>2025</t>
        </is>
      </c>
    </row>
    <row r="71">
      <c r="A71" s="6" t="inlineStr">
        <is>
          <t>Benchmark clubs anonymisé</t>
        </is>
      </c>
      <c r="B71" s="6" t="inlineStr">
        <is>
          <t>IMP-ANA-06</t>
        </is>
      </c>
      <c r="C71" s="6" t="inlineStr">
        <is>
          <t>Analytics &amp; Reporting</t>
        </is>
      </c>
      <c r="D71" s="6" t="inlineStr">
        <is>
          <t>Production</t>
        </is>
      </c>
      <c r="E71" s="6" t="inlineStr">
        <is>
          <t>benchmark.service.ts, benchmark.controller.ts</t>
        </is>
      </c>
      <c r="F71" s="6" t="inlineStr">
        <is>
          <t>2025</t>
        </is>
      </c>
    </row>
    <row r="72">
      <c r="A72" s="6" t="inlineStr">
        <is>
          <t>Métriques Prometheus (performance + alertes + sync)</t>
        </is>
      </c>
      <c r="B72" s="6" t="inlineStr">
        <is>
          <t>IMP-ANA-07</t>
        </is>
      </c>
      <c r="C72" s="6" t="inlineStr">
        <is>
          <t>Analytics &amp; Reporting</t>
        </is>
      </c>
      <c r="D72" s="6" t="inlineStr">
        <is>
          <t>Production</t>
        </is>
      </c>
      <c r="E72" s="6" t="inlineStr">
        <is>
          <t>metrics.service.ts</t>
        </is>
      </c>
      <c r="F72" s="6" t="inlineStr">
        <is>
          <t>2025</t>
        </is>
      </c>
    </row>
    <row r="73">
      <c r="A73" s="6" t="inlineStr">
        <is>
          <t>Statistiques temps réel (agrégation live)</t>
        </is>
      </c>
      <c r="B73" s="6" t="inlineStr">
        <is>
          <t>IMP-ANA-08</t>
        </is>
      </c>
      <c r="C73" s="6" t="inlineStr">
        <is>
          <t>Analytics &amp; Reporting</t>
        </is>
      </c>
      <c r="D73" s="6" t="inlineStr">
        <is>
          <t>Production</t>
        </is>
      </c>
      <c r="E73" s="6" t="inlineStr">
        <is>
          <t>realtime-stats.service.ts</t>
        </is>
      </c>
      <c r="F73" s="6" t="inlineStr">
        <is>
          <t>2025</t>
        </is>
      </c>
    </row>
    <row r="74">
      <c r="A74" s="6" t="inlineStr">
        <is>
          <t>Métriques pitch-deck (investisseurs)</t>
        </is>
      </c>
      <c r="B74" s="6" t="inlineStr">
        <is>
          <t>IMP-ANA-09</t>
        </is>
      </c>
      <c r="C74" s="6" t="inlineStr">
        <is>
          <t>Analytics &amp; Reporting</t>
        </is>
      </c>
      <c r="D74" s="6" t="inlineStr">
        <is>
          <t>Production</t>
        </is>
      </c>
      <c r="E74" s="6" t="inlineStr">
        <is>
          <t>pitch-deck.controller.ts, pitch-deck.repository.ts</t>
        </is>
      </c>
      <c r="F74" s="6" t="inlineStr">
        <is>
          <t>2025</t>
        </is>
      </c>
    </row>
    <row r="75">
      <c r="A75" s="6" t="inlineStr">
        <is>
          <t>Estimation d'audience et score live (champs DB)</t>
        </is>
      </c>
      <c r="B75" s="6" t="inlineStr">
        <is>
          <t>IMP-ANA-10</t>
        </is>
      </c>
      <c r="C75" s="6" t="inlineStr">
        <is>
          <t>Analytics &amp; Reporting</t>
        </is>
      </c>
      <c r="D75" s="6" t="inlineStr">
        <is>
          <t>Livré</t>
        </is>
      </c>
      <c r="E75" s="6" t="inlineStr">
        <is>
          <t>add-audience-and-score-fields.sql</t>
        </is>
      </c>
      <c r="F75" s="6" t="inlineStr">
        <is>
          <t>Déc 2025</t>
        </is>
      </c>
    </row>
    <row r="76">
      <c r="A76" s="6" t="inlineStr">
        <is>
          <t>P6 analytics : statistiques réseau + benchmark + CPI + décomposition match PDF</t>
        </is>
      </c>
      <c r="B76" s="6" t="inlineStr">
        <is>
          <t>IMP-ANA-11</t>
        </is>
      </c>
      <c r="C76" s="6" t="inlineStr">
        <is>
          <t>Analytics &amp; Reporting</t>
        </is>
      </c>
      <c r="D76" s="6" t="inlineStr">
        <is>
          <t>Production</t>
        </is>
      </c>
      <c r="E76" s="6" t="inlineStr">
        <is>
          <t>analytics.controller.ts</t>
        </is>
      </c>
      <c r="F76" s="6" t="inlineStr">
        <is>
          <t>v3.54.0</t>
        </is>
      </c>
    </row>
    <row r="77">
      <c r="A77" s="6" t="inlineStr">
        <is>
          <t>Dashboard métriques de traction (KPIs business pour pitch)</t>
        </is>
      </c>
      <c r="B77" s="6" t="inlineStr">
        <is>
          <t>IMP-ANA-12</t>
        </is>
      </c>
      <c r="C77" s="6" t="inlineStr">
        <is>
          <t>Analytics &amp; Reporting</t>
        </is>
      </c>
      <c r="D77" s="6" t="inlineStr">
        <is>
          <t>Production</t>
        </is>
      </c>
      <c r="E77" s="6" t="inlineStr">
        <is>
          <t>traction-metrics.component.ts</t>
        </is>
      </c>
      <c r="F77" s="6" t="inlineStr">
        <is>
          <t>2026</t>
        </is>
      </c>
    </row>
    <row r="78">
      <c r="A78" s="6" t="inlineStr">
        <is>
          <t>Détection statut TV HDMI-CEC (filtrer vraies lectures vidéo)</t>
        </is>
      </c>
      <c r="B78" s="6" t="inlineStr">
        <is>
          <t>IMP-ANA-13</t>
        </is>
      </c>
      <c r="C78" s="6" t="inlineStr">
        <is>
          <t>Analytics &amp; Reporting</t>
        </is>
      </c>
      <c r="D78" s="6" t="inlineStr">
        <is>
          <t>Production</t>
        </is>
      </c>
      <c r="E78" s="6" t="inlineStr">
        <is>
          <t>hdmi-cec.service.ts</t>
        </is>
      </c>
      <c r="F78" s="6" t="inlineStr">
        <is>
          <t>2026</t>
        </is>
      </c>
    </row>
    <row r="79">
      <c r="A79" s="6" t="inlineStr">
        <is>
          <t>Dashboard santé flotte</t>
        </is>
      </c>
      <c r="B79" s="6" t="inlineStr">
        <is>
          <t>IMP-ANA-14</t>
        </is>
      </c>
      <c r="C79" s="6" t="inlineStr">
        <is>
          <t>Analytics &amp; Reporting</t>
        </is>
      </c>
      <c r="D79" s="6" t="inlineStr">
        <is>
          <t>Production</t>
        </is>
      </c>
      <c r="E79" s="6" t="inlineStr">
        <is>
          <t>fleet-health.component.ts</t>
        </is>
      </c>
      <c r="F79" s="6" t="inlineStr">
        <is>
          <t>2025</t>
        </is>
      </c>
    </row>
    <row r="80">
      <c r="A80" s="6" t="inlineStr">
        <is>
          <t>Dashboard temps réel + export Excel</t>
        </is>
      </c>
      <c r="B80" s="6" t="inlineStr">
        <is>
          <t>IMP-ANA-15</t>
        </is>
      </c>
      <c r="C80" s="6" t="inlineStr">
        <is>
          <t>Analytics &amp; Reporting</t>
        </is>
      </c>
      <c r="D80" s="6" t="inlineStr">
        <is>
          <t>Production</t>
        </is>
      </c>
      <c r="E80" s="6" t="inlineStr">
        <is>
          <t>realtime-dashboard.component.ts</t>
        </is>
      </c>
      <c r="F80" s="6" t="inlineStr">
        <is>
          <t>2025</t>
        </is>
      </c>
    </row>
    <row r="81">
      <c r="A81" s="6" t="inlineStr">
        <is>
          <t>Navigation par onglets sur toutes les pages analytics</t>
        </is>
      </c>
      <c r="B81" s="6" t="inlineStr">
        <is>
          <t>IMP-ANA-16</t>
        </is>
      </c>
      <c r="C81" s="6" t="inlineStr">
        <is>
          <t>Analytics &amp; Reporting</t>
        </is>
      </c>
      <c r="D81" s="6" t="inlineStr">
        <is>
          <t>Production</t>
        </is>
      </c>
      <c r="E81" s="6" t="inlineStr">
        <is>
          <t>analytics.module.ts</t>
        </is>
      </c>
      <c r="F81" s="6" t="inlineStr">
        <is>
          <t>2026</t>
        </is>
      </c>
    </row>
    <row r="82">
      <c r="A82" s="6" t="inlineStr">
        <is>
          <t>Analytics sponsors : 6 KPIs + graphiques (ligne + anneau) + export CSV</t>
        </is>
      </c>
      <c r="B82" s="6" t="inlineStr">
        <is>
          <t>IMP-ANA-17</t>
        </is>
      </c>
      <c r="C82" s="6" t="inlineStr">
        <is>
          <t>Analytics &amp; Reporting</t>
        </is>
      </c>
      <c r="D82" s="6" t="inlineStr">
        <is>
          <t>Production</t>
        </is>
      </c>
      <c r="E82" s="6" t="inlineStr">
        <is>
          <t>sponsor-analytics.component.ts</t>
        </is>
      </c>
      <c r="F82" s="6" t="inlineStr">
        <is>
          <t>Déc 2025</t>
        </is>
      </c>
    </row>
    <row r="83">
      <c r="A83" s="6" t="inlineStr">
        <is>
          <t>Rapports PDF sponsors professionnels (Chart.js)</t>
        </is>
      </c>
      <c r="B83" s="6" t="inlineStr">
        <is>
          <t>IMP-ANA-18</t>
        </is>
      </c>
      <c r="C83" s="6" t="inlineStr">
        <is>
          <t>Analytics &amp; Reporting</t>
        </is>
      </c>
      <c r="D83" s="6" t="inlineStr">
        <is>
          <t>Production</t>
        </is>
      </c>
      <c r="E83" s="6" t="inlineStr">
        <is>
          <t>pdf-report.service.ts</t>
        </is>
      </c>
      <c r="F83" s="6" t="inlineStr">
        <is>
          <t>Déc 2025</t>
        </is>
      </c>
    </row>
    <row r="84">
      <c r="A84" s="6" t="inlineStr">
        <is>
          <t>Télécommande v2 (recherche + badge audience + modal match)</t>
        </is>
      </c>
      <c r="B84" s="6" t="inlineStr">
        <is>
          <t>IMP-PI-01</t>
        </is>
      </c>
      <c r="C84" s="6" t="inlineStr">
        <is>
          <t>Raspberry Pi (Edge)</t>
        </is>
      </c>
      <c r="D84" s="6" t="inlineStr">
        <is>
          <t>Production</t>
        </is>
      </c>
      <c r="E84" s="6" t="inlineStr">
        <is>
          <t>remote.component.ts</t>
        </is>
      </c>
      <c r="F84" s="6" t="inlineStr">
        <is>
          <t>Déc 2025</t>
        </is>
      </c>
    </row>
    <row r="85">
      <c r="A85" s="6" t="inlineStr">
        <is>
          <t>Socket.IO mode hors-ligne autonome (lib locale)</t>
        </is>
      </c>
      <c r="B85" s="6" t="inlineStr">
        <is>
          <t>IMP-PI-02</t>
        </is>
      </c>
      <c r="C85" s="6" t="inlineStr">
        <is>
          <t>Raspberry Pi (Edge)</t>
        </is>
      </c>
      <c r="D85" s="6" t="inlineStr">
        <is>
          <t>Production</t>
        </is>
      </c>
      <c r="E85" s="6" t="inlineStr">
        <is>
          <t>socket.io.min.js local</t>
        </is>
      </c>
      <c r="F85" s="6" t="inlineStr">
        <is>
          <t>Déc 2025</t>
        </is>
      </c>
    </row>
    <row r="86">
      <c r="A86" s="6" t="inlineStr">
        <is>
          <t>Lecture vidéo double-buffer (transitions fluides)</t>
        </is>
      </c>
      <c r="B86" s="6" t="inlineStr">
        <is>
          <t>IMP-PI-03</t>
        </is>
      </c>
      <c r="C86" s="6" t="inlineStr">
        <is>
          <t>Raspberry Pi (Edge)</t>
        </is>
      </c>
      <c r="D86" s="6" t="inlineStr">
        <is>
          <t>Production</t>
        </is>
      </c>
      <c r="E86" s="6" t="inlineStr">
        <is>
          <t>double-buffer-video.service.ts</t>
        </is>
      </c>
      <c r="F86" s="6" t="inlineStr">
        <is>
          <t>2025</t>
        </is>
      </c>
    </row>
    <row r="87">
      <c r="A87" s="6" t="inlineStr">
        <is>
          <t>Profils de configuration (avant/pendant/après match)</t>
        </is>
      </c>
      <c r="B87" s="6" t="inlineStr">
        <is>
          <t>IMP-PI-04</t>
        </is>
      </c>
      <c r="C87" s="6" t="inlineStr">
        <is>
          <t>Raspberry Pi (Edge)</t>
        </is>
      </c>
      <c r="D87" s="6" t="inlineStr">
        <is>
          <t>Production</t>
        </is>
      </c>
      <c r="E87" s="6" t="inlineStr">
        <is>
          <t>profile-config.service.ts, config-profiles.controller.ts</t>
        </is>
      </c>
      <c r="F87" s="6" t="inlineStr">
        <is>
          <t>Déc 2025</t>
        </is>
      </c>
    </row>
    <row r="88">
      <c r="A88" s="6" t="inlineStr">
        <is>
          <t>Détection statut HDMI</t>
        </is>
      </c>
      <c r="B88" s="6" t="inlineStr">
        <is>
          <t>IMP-PI-05</t>
        </is>
      </c>
      <c r="C88" s="6" t="inlineStr">
        <is>
          <t>Raspberry Pi (Edge)</t>
        </is>
      </c>
      <c r="D88" s="6" t="inlineStr">
        <is>
          <t>Production</t>
        </is>
      </c>
      <c r="E88" s="6" t="inlineStr">
        <is>
          <t>hdmi-status.service.ts</t>
        </is>
      </c>
      <c r="F88" s="6" t="inlineStr">
        <is>
          <t>2025</t>
        </is>
      </c>
    </row>
    <row r="89">
      <c r="A89" s="6" t="inlineStr">
        <is>
          <t>Détection HDMI EDID (identifier type écran : moniteur PC vs TV)</t>
        </is>
      </c>
      <c r="B89" s="6" t="inlineStr">
        <is>
          <t>IMP-PI-06</t>
        </is>
      </c>
      <c r="C89" s="6" t="inlineStr">
        <is>
          <t>Raspberry Pi (Edge)</t>
        </is>
      </c>
      <c r="D89" s="6" t="inlineStr">
        <is>
          <t>Production</t>
        </is>
      </c>
      <c r="E89" s="6" t="inlineStr">
        <is>
          <t>hdmi-edid.service.ts</t>
        </is>
      </c>
      <c r="F89" s="6" t="inlineStr">
        <is>
          <t>2026</t>
        </is>
      </c>
    </row>
    <row r="90">
      <c r="A90" s="6" t="inlineStr">
        <is>
          <t>Récupération erreur vidéo (lecture de secours)</t>
        </is>
      </c>
      <c r="B90" s="6" t="inlineStr">
        <is>
          <t>IMP-PI-07</t>
        </is>
      </c>
      <c r="C90" s="6" t="inlineStr">
        <is>
          <t>Raspberry Pi (Edge)</t>
        </is>
      </c>
      <c r="D90" s="6" t="inlineStr">
        <is>
          <t>Production</t>
        </is>
      </c>
      <c r="E90" s="6" t="inlineStr">
        <is>
          <t>video-error-recovery.service.ts</t>
        </is>
      </c>
      <c r="F90" s="6" t="inlineStr">
        <is>
          <t>2025</t>
        </is>
      </c>
    </row>
    <row r="91">
      <c r="A91" s="6" t="inlineStr">
        <is>
          <t>Filigrane overlay configurable</t>
        </is>
      </c>
      <c r="B91" s="6" t="inlineStr">
        <is>
          <t>IMP-PI-08</t>
        </is>
      </c>
      <c r="C91" s="6" t="inlineStr">
        <is>
          <t>Raspberry Pi (Edge)</t>
        </is>
      </c>
      <c r="D91" s="6" t="inlineStr">
        <is>
          <t>Production</t>
        </is>
      </c>
      <c r="E91" s="6" t="inlineStr">
        <is>
          <t>watermark.service.ts</t>
        </is>
      </c>
      <c r="F91" s="6" t="inlineStr">
        <is>
          <t>2025</t>
        </is>
      </c>
    </row>
    <row r="92">
      <c r="A92" s="6" t="inlineStr">
        <is>
          <t>Sélecteur de filigrane déroulant sur Dashboard</t>
        </is>
      </c>
      <c r="B92" s="6" t="inlineStr">
        <is>
          <t>IMP-PI-09</t>
        </is>
      </c>
      <c r="C92" s="6" t="inlineStr">
        <is>
          <t>Raspberry Pi (Edge)</t>
        </is>
      </c>
      <c r="D92" s="6" t="inlineStr">
        <is>
          <t>Production</t>
        </is>
      </c>
      <c r="E92" s="6" t="inlineStr">
        <is>
          <t>watermark.component.ts</t>
        </is>
      </c>
      <c r="F92" s="6" t="inlineStr">
        <is>
          <t>v3.57.0</t>
        </is>
      </c>
    </row>
    <row r="93">
      <c r="A93" s="6" t="inlineStr">
        <is>
          <t>Capture d'écran (à la demande depuis télécommande cloud)</t>
        </is>
      </c>
      <c r="B93" s="6" t="inlineStr">
        <is>
          <t>IMP-PI-10</t>
        </is>
      </c>
      <c r="C93" s="6" t="inlineStr">
        <is>
          <t>Raspberry Pi (Edge)</t>
        </is>
      </c>
      <c r="D93" s="6" t="inlineStr">
        <is>
          <t>Production</t>
        </is>
      </c>
      <c r="E93" s="6" t="inlineStr">
        <is>
          <t>screenshot.service.ts</t>
        </is>
      </c>
      <c r="F93" s="6" t="inlineStr">
        <is>
          <t>2025</t>
        </is>
      </c>
    </row>
    <row r="94">
      <c r="A94" s="6" t="inlineStr">
        <is>
          <t>Branding personnalisé par site (logo + couleurs)</t>
        </is>
      </c>
      <c r="B94" s="6" t="inlineStr">
        <is>
          <t>IMP-PI-11</t>
        </is>
      </c>
      <c r="C94" s="6" t="inlineStr">
        <is>
          <t>Raspberry Pi (Edge)</t>
        </is>
      </c>
      <c r="D94" s="6" t="inlineStr">
        <is>
          <t>Production</t>
        </is>
      </c>
      <c r="E94" s="6" t="inlineStr">
        <is>
          <t>add-site-branding.sql</t>
        </is>
      </c>
      <c r="F94" s="6" t="inlineStr">
        <is>
          <t>2025</t>
        </is>
      </c>
    </row>
    <row r="95">
      <c r="A95" s="6" t="inlineStr">
        <is>
          <t>Hostname Pi dynamique dérivé du nom du club</t>
        </is>
      </c>
      <c r="B95" s="6" t="inlineStr">
        <is>
          <t>IMP-PI-12</t>
        </is>
      </c>
      <c r="C95" s="6" t="inlineStr">
        <is>
          <t>Raspberry Pi (Edge)</t>
        </is>
      </c>
      <c r="D95" s="6" t="inlineStr">
        <is>
          <t>Production</t>
        </is>
      </c>
      <c r="E95" s="6" t="inlineStr">
        <is>
          <t>hostname.service.ts</t>
        </is>
      </c>
      <c r="F95" s="6" t="inlineStr">
        <is>
          <t>v3.51.0</t>
        </is>
      </c>
    </row>
    <row r="96">
      <c r="A96" s="6" t="inlineStr">
        <is>
          <t>Enregistrement : retour auto en boucle après inactivité</t>
        </is>
      </c>
      <c r="B96" s="6" t="inlineStr">
        <is>
          <t>IMP-PI-13</t>
        </is>
      </c>
      <c r="C96" s="6" t="inlineStr">
        <is>
          <t>Raspberry Pi (Edge)</t>
        </is>
      </c>
      <c r="D96" s="6" t="inlineStr">
        <is>
          <t>Production</t>
        </is>
      </c>
      <c r="E96" s="6" t="inlineStr">
        <is>
          <t>recording.service.ts</t>
        </is>
      </c>
      <c r="F96" s="6" t="inlineStr">
        <is>
          <t>2026</t>
        </is>
      </c>
    </row>
    <row r="97">
      <c r="A97" s="6" t="inlineStr">
        <is>
          <t>Enregistrement : popup avertissement inactivité avec décompte (ADR-021)</t>
        </is>
      </c>
      <c r="B97" s="6" t="inlineStr">
        <is>
          <t>IMP-PI-14</t>
        </is>
      </c>
      <c r="C97" s="6" t="inlineStr">
        <is>
          <t>Raspberry Pi (Edge)</t>
        </is>
      </c>
      <c r="D97" s="6" t="inlineStr">
        <is>
          <t>Production</t>
        </is>
      </c>
      <c r="E97" s="6" t="inlineStr">
        <is>
          <t>remote.component.ts</t>
        </is>
      </c>
      <c r="F97" s="6" t="inlineStr">
        <is>
          <t>2026</t>
        </is>
      </c>
    </row>
    <row r="98">
      <c r="A98" s="6" t="inlineStr">
        <is>
          <t>Bascule mode club/tech + widget statut sync</t>
        </is>
      </c>
      <c r="B98" s="6" t="inlineStr">
        <is>
          <t>IMP-PI-15</t>
        </is>
      </c>
      <c r="C98" s="6" t="inlineStr">
        <is>
          <t>Raspberry Pi (Edge)</t>
        </is>
      </c>
      <c r="D98" s="6" t="inlineStr">
        <is>
          <t>Production</t>
        </is>
      </c>
      <c r="E98" s="6" t="inlineStr">
        <is>
          <t>admin-panel.component.ts</t>
        </is>
      </c>
      <c r="F98" s="6" t="inlineStr">
        <is>
          <t>2026</t>
        </is>
      </c>
    </row>
    <row r="99">
      <c r="A99" s="6" t="inlineStr">
        <is>
          <t>Installation apt depuis dashboard via sudoers</t>
        </is>
      </c>
      <c r="B99" s="6" t="inlineStr">
        <is>
          <t>IMP-PI-16</t>
        </is>
      </c>
      <c r="C99" s="6" t="inlineStr">
        <is>
          <t>Raspberry Pi (Edge)</t>
        </is>
      </c>
      <c r="D99" s="6" t="inlineStr">
        <is>
          <t>Production</t>
        </is>
      </c>
      <c r="E99" s="6" t="inlineStr">
        <is>
          <t>sudoers, admin-server.js</t>
        </is>
      </c>
      <c r="F99" s="6" t="inlineStr">
        <is>
          <t>2026</t>
        </is>
      </c>
    </row>
    <row r="100">
      <c r="A100" s="6" t="inlineStr">
        <is>
          <t>Contrôle enregistrement analytics + sync TV maître-esclave</t>
        </is>
      </c>
      <c r="B100" s="6" t="inlineStr">
        <is>
          <t>IMP-PI-17</t>
        </is>
      </c>
      <c r="C100" s="6" t="inlineStr">
        <is>
          <t>Raspberry Pi (Edge)</t>
        </is>
      </c>
      <c r="D100" s="6" t="inlineStr">
        <is>
          <t>Production</t>
        </is>
      </c>
      <c r="E100" s="6" t="inlineStr">
        <is>
          <t>recording.service.ts</t>
        </is>
      </c>
      <c r="F100" s="6" t="inlineStr">
        <is>
          <t>2026</t>
        </is>
      </c>
    </row>
    <row r="101">
      <c r="A101" s="6" t="inlineStr">
        <is>
          <t>Masquage curseur kiosque (triple protection sur TV)</t>
        </is>
      </c>
      <c r="B101" s="6" t="inlineStr">
        <is>
          <t>IMP-PI-18</t>
        </is>
      </c>
      <c r="C101" s="6" t="inlineStr">
        <is>
          <t>Raspberry Pi (Edge)</t>
        </is>
      </c>
      <c r="D101" s="6" t="inlineStr">
        <is>
          <t>Production</t>
        </is>
      </c>
      <c r="E101" s="6" t="inlineStr">
        <is>
          <t>kiosk.css</t>
        </is>
      </c>
      <c r="F101" s="6" t="inlineStr">
        <is>
          <t>2026</t>
        </is>
      </c>
    </row>
    <row r="102">
      <c r="A102" s="6" t="inlineStr">
        <is>
          <t>Transitions TV : détection frame réel (élimine trous noirs sur Pi 5)</t>
        </is>
      </c>
      <c r="B102" s="6" t="inlineStr">
        <is>
          <t>IMP-PI-19</t>
        </is>
      </c>
      <c r="C102" s="6" t="inlineStr">
        <is>
          <t>Raspberry Pi (Edge)</t>
        </is>
      </c>
      <c r="D102" s="6" t="inlineStr">
        <is>
          <t>Production</t>
        </is>
      </c>
      <c r="E102" s="6" t="inlineStr">
        <is>
          <t>double-buffer-video.service.ts</t>
        </is>
      </c>
      <c r="F102" s="6" t="inlineStr">
        <is>
          <t>2026</t>
        </is>
      </c>
    </row>
    <row r="103">
      <c r="A103" s="6" t="inlineStr">
        <is>
          <t>Chromium → chromium (compat Raspberry Pi OS Trixie)</t>
        </is>
      </c>
      <c r="B103" s="6" t="inlineStr">
        <is>
          <t>IMP-PI-20</t>
        </is>
      </c>
      <c r="C103" s="6" t="inlineStr">
        <is>
          <t>Raspberry Pi (Edge)</t>
        </is>
      </c>
      <c r="D103" s="6" t="inlineStr">
        <is>
          <t>Production</t>
        </is>
      </c>
      <c r="E103" s="6" t="inlineStr">
        <is>
          <t>kiosk.sh</t>
        </is>
      </c>
      <c r="F103" s="6" t="inlineStr">
        <is>
          <t>Déc 2025</t>
        </is>
      </c>
    </row>
    <row r="104">
      <c r="A104" s="6" t="inlineStr">
        <is>
          <t>Programmation boucle vidéo par phase match (pré/pendant/post)</t>
        </is>
      </c>
      <c r="B104" s="6" t="inlineStr">
        <is>
          <t>IMP-PI-21</t>
        </is>
      </c>
      <c r="C104" s="6" t="inlineStr">
        <is>
          <t>Raspberry Pi (Edge)</t>
        </is>
      </c>
      <c r="D104" s="6" t="inlineStr">
        <is>
          <t>Production</t>
        </is>
      </c>
      <c r="E104" s="6" t="inlineStr">
        <is>
          <t>loop-scheduler.js</t>
        </is>
      </c>
      <c r="F104" s="6" t="inlineStr">
        <is>
          <t>Déc 2025</t>
        </is>
      </c>
    </row>
    <row r="105">
      <c r="A105" s="6" t="inlineStr">
        <is>
          <t>Agent de sync bidirectionnel (cloud ↔ Pi)</t>
        </is>
      </c>
      <c r="B105" s="6" t="inlineStr">
        <is>
          <t>IMP-NET-01</t>
        </is>
      </c>
      <c r="C105" s="6" t="inlineStr">
        <is>
          <t>Résilience Réseau &amp; Sync</t>
        </is>
      </c>
      <c r="D105" s="6" t="inlineStr">
        <is>
          <t>Production</t>
        </is>
      </c>
      <c r="E105" s="6" t="inlineStr">
        <is>
          <t>sync-agent/</t>
        </is>
      </c>
      <c r="F105" s="6" t="inlineStr">
        <is>
          <t>2025</t>
        </is>
      </c>
    </row>
    <row r="106">
      <c r="A106" s="6" t="inlineStr">
        <is>
          <t>File d'attente hors-ligne (stocke commandes pendant déconnexion)</t>
        </is>
      </c>
      <c r="B106" s="6" t="inlineStr">
        <is>
          <t>IMP-NET-02</t>
        </is>
      </c>
      <c r="C106" s="6" t="inlineStr">
        <is>
          <t>Résilience Réseau &amp; Sync</t>
        </is>
      </c>
      <c r="D106" s="6" t="inlineStr">
        <is>
          <t>Production</t>
        </is>
      </c>
      <c r="E106" s="6" t="inlineStr">
        <is>
          <t>offline-queue.js</t>
        </is>
      </c>
      <c r="F106" s="6" t="inlineStr">
        <is>
          <t>2025</t>
        </is>
      </c>
    </row>
    <row r="107">
      <c r="A107" s="6" t="inlineStr">
        <is>
          <t>Chien de garde réseau (surveillance réseau)</t>
        </is>
      </c>
      <c r="B107" s="6" t="inlineStr">
        <is>
          <t>IMP-NET-03</t>
        </is>
      </c>
      <c r="C107" s="6" t="inlineStr">
        <is>
          <t>Résilience Réseau &amp; Sync</t>
        </is>
      </c>
      <c r="D107" s="6" t="inlineStr">
        <is>
          <t>Production</t>
        </is>
      </c>
      <c r="E107" s="6" t="inlineStr">
        <is>
          <t>network-watchdog.js</t>
        </is>
      </c>
      <c r="F107" s="6" t="inlineStr">
        <is>
          <t>2025</t>
        </is>
      </c>
    </row>
    <row r="108">
      <c r="A108" s="6" t="inlineStr">
        <is>
          <t>Opérations réseau sécurisées (retry + backoff exponentiel)</t>
        </is>
      </c>
      <c r="B108" s="6" t="inlineStr">
        <is>
          <t>IMP-NET-04</t>
        </is>
      </c>
      <c r="C108" s="6" t="inlineStr">
        <is>
          <t>Résilience Réseau &amp; Sync</t>
        </is>
      </c>
      <c r="D108" s="6" t="inlineStr">
        <is>
          <t>Production</t>
        </is>
      </c>
      <c r="E108" s="6" t="inlineStr">
        <is>
          <t>safe-network-operations.js</t>
        </is>
      </c>
      <c r="F108" s="6" t="inlineStr">
        <is>
          <t>2025</t>
        </is>
      </c>
    </row>
    <row r="109">
      <c r="A109" s="6" t="inlineStr">
        <is>
          <t>Détection statut connexion (en ligne/hors-ligne/dégradé)</t>
        </is>
      </c>
      <c r="B109" s="6" t="inlineStr">
        <is>
          <t>IMP-NET-05</t>
        </is>
      </c>
      <c r="C109" s="6" t="inlineStr">
        <is>
          <t>Résilience Réseau &amp; Sync</t>
        </is>
      </c>
      <c r="D109" s="6" t="inlineStr">
        <is>
          <t>Production</t>
        </is>
      </c>
      <c r="E109" s="6" t="inlineStr">
        <is>
          <t>connection-status.js</t>
        </is>
      </c>
      <c r="F109" s="6" t="inlineStr">
        <is>
          <t>2025</t>
        </is>
      </c>
    </row>
    <row r="110">
      <c r="A110" s="6" t="inlineStr">
        <is>
          <t>Historique de synchronisation</t>
        </is>
      </c>
      <c r="B110" s="6" t="inlineStr">
        <is>
          <t>IMP-NET-06</t>
        </is>
      </c>
      <c r="C110" s="6" t="inlineStr">
        <is>
          <t>Résilience Réseau &amp; Sync</t>
        </is>
      </c>
      <c r="D110" s="6" t="inlineStr">
        <is>
          <t>Production</t>
        </is>
      </c>
      <c r="E110" s="6" t="inlineStr">
        <is>
          <t>sync-history.js</t>
        </is>
      </c>
      <c r="F110" s="6" t="inlineStr">
        <is>
          <t>2025</t>
        </is>
      </c>
    </row>
    <row r="111">
      <c r="A111" s="6" t="inlineStr">
        <is>
          <t>Résilience Réseau Phase 4 : auto-recovery NetworkWatchdog (6 phases)</t>
        </is>
      </c>
      <c r="B111" s="6" t="inlineStr">
        <is>
          <t>IMP-NET-07</t>
        </is>
      </c>
      <c r="C111" s="6" t="inlineStr">
        <is>
          <t>Résilience Réseau &amp; Sync</t>
        </is>
      </c>
      <c r="D111" s="6" t="inlineStr">
        <is>
          <t>Production</t>
        </is>
      </c>
      <c r="E111" s="6" t="inlineStr">
        <is>
          <t>network-watchdog.js</t>
        </is>
      </c>
      <c r="F111" s="6" t="inlineStr">
        <is>
          <t>v2.37.0 Jan 2026</t>
        </is>
      </c>
    </row>
    <row r="112">
      <c r="A112" s="6" t="inlineStr">
        <is>
          <t>Mécanisme de rollback pour opérations réseau risquées</t>
        </is>
      </c>
      <c r="B112" s="6" t="inlineStr">
        <is>
          <t>IMP-NET-08</t>
        </is>
      </c>
      <c r="C112" s="6" t="inlineStr">
        <is>
          <t>Résilience Réseau &amp; Sync</t>
        </is>
      </c>
      <c r="D112" s="6" t="inlineStr">
        <is>
          <t>Production</t>
        </is>
      </c>
      <c r="E112" s="6" t="inlineStr">
        <is>
          <t>network-watchdog.js</t>
        </is>
      </c>
      <c r="F112" s="6" t="inlineStr">
        <is>
          <t>v2.37.0 Jan 2026</t>
        </is>
      </c>
    </row>
    <row r="113">
      <c r="A113" s="6" t="inlineStr">
        <is>
          <t>Alertes réseau proactives (mesh + isolation client + stabilité)</t>
        </is>
      </c>
      <c r="B113" s="6" t="inlineStr">
        <is>
          <t>IMP-NET-09</t>
        </is>
      </c>
      <c r="C113" s="6" t="inlineStr">
        <is>
          <t>Résilience Réseau &amp; Sync</t>
        </is>
      </c>
      <c r="D113" s="6" t="inlineStr">
        <is>
          <t>Production</t>
        </is>
      </c>
      <c r="E113" s="6" t="inlineStr">
        <is>
          <t>network-alerts.service.ts</t>
        </is>
      </c>
      <c r="F113" s="6" t="inlineStr">
        <is>
          <t>v2.37.0 Jan 2026</t>
        </is>
      </c>
    </row>
    <row r="114">
      <c r="A114" s="6" t="inlineStr">
        <is>
          <t>Support portail captif Android + compat iOS/Windows/macOS</t>
        </is>
      </c>
      <c r="B114" s="6" t="inlineStr">
        <is>
          <t>IMP-NET-10</t>
        </is>
      </c>
      <c r="C114" s="6" t="inlineStr">
        <is>
          <t>Résilience Réseau &amp; Sync</t>
        </is>
      </c>
      <c r="D114" s="6" t="inlineStr">
        <is>
          <t>Production</t>
        </is>
      </c>
      <c r="E114" s="6" t="inlineStr">
        <is>
          <t>captive-portal.sh</t>
        </is>
      </c>
      <c r="F114" s="6" t="inlineStr">
        <is>
          <t>Jan 2026</t>
        </is>
      </c>
    </row>
    <row r="115">
      <c r="A115" s="6" t="inlineStr">
        <is>
          <t>WiFi USB RTL8192EU stabilisation 4 couches (driver + udev + boot + watchdog)</t>
        </is>
      </c>
      <c r="B115" s="6" t="inlineStr">
        <is>
          <t>IMP-NET-11</t>
        </is>
      </c>
      <c r="C115" s="6" t="inlineStr">
        <is>
          <t>Résilience Réseau &amp; Sync</t>
        </is>
      </c>
      <c r="D115" s="6" t="inlineStr">
        <is>
          <t>Production</t>
        </is>
      </c>
      <c r="E115" s="6" t="inlineStr">
        <is>
          <t>wifi-usb-stabilize.sh</t>
        </is>
      </c>
      <c r="F115" s="6" t="inlineStr">
        <is>
          <t>v3.40.0 Fév 2026</t>
        </is>
      </c>
    </row>
    <row r="116">
      <c r="A116" s="6" t="inlineStr">
        <is>
          <t>Anti-interférence hotspot (penalty +100 sur sélection canal wlan1)</t>
        </is>
      </c>
      <c r="B116" s="6" t="inlineStr">
        <is>
          <t>IMP-NET-12</t>
        </is>
      </c>
      <c r="C116" s="6" t="inlineStr">
        <is>
          <t>Résilience Réseau &amp; Sync</t>
        </is>
      </c>
      <c r="D116" s="6" t="inlineStr">
        <is>
          <t>Production</t>
        </is>
      </c>
      <c r="E116" s="6" t="inlineStr">
        <is>
          <t>wifi-usb-stabilize.sh</t>
        </is>
      </c>
      <c r="F116" s="6" t="inlineStr">
        <is>
          <t>Fév 2026</t>
        </is>
      </c>
    </row>
    <row r="117">
      <c r="A117" s="6" t="inlineStr">
        <is>
          <t>WiFi récupération rapide (~2min vs ~5min) + fix boot init</t>
        </is>
      </c>
      <c r="B117" s="6" t="inlineStr">
        <is>
          <t>IMP-NET-13</t>
        </is>
      </c>
      <c r="C117" s="6" t="inlineStr">
        <is>
          <t>Résilience Réseau &amp; Sync</t>
        </is>
      </c>
      <c r="D117" s="6" t="inlineStr">
        <is>
          <t>Production</t>
        </is>
      </c>
      <c r="E117" s="6" t="inlineStr">
        <is>
          <t>wifi-recovery.js</t>
        </is>
      </c>
      <c r="F117" s="6" t="inlineStr">
        <is>
          <t>v3.58.0</t>
        </is>
      </c>
    </row>
    <row r="118">
      <c r="A118" s="6" t="inlineStr">
        <is>
          <t>Préservation hotspot wlan1 (pas de restart hostapd immédiat)</t>
        </is>
      </c>
      <c r="B118" s="6" t="inlineStr">
        <is>
          <t>IMP-NET-14</t>
        </is>
      </c>
      <c r="C118" s="6" t="inlineStr">
        <is>
          <t>Résilience Réseau &amp; Sync</t>
        </is>
      </c>
      <c r="D118" s="6" t="inlineStr">
        <is>
          <t>Production</t>
        </is>
      </c>
      <c r="E118" s="6" t="inlineStr">
        <is>
          <t>fix-hotspot.sh</t>
        </is>
      </c>
      <c r="F118" s="6" t="inlineStr">
        <is>
          <t>Jan 2026</t>
        </is>
      </c>
    </row>
    <row r="119">
      <c r="A119" s="6" t="inlineStr">
        <is>
          <t>Écriture atomique sync-agent pour configuration.json + auto-recovery</t>
        </is>
      </c>
      <c r="B119" s="6" t="inlineStr">
        <is>
          <t>IMP-NET-15</t>
        </is>
      </c>
      <c r="C119" s="6" t="inlineStr">
        <is>
          <t>Résilience Réseau &amp; Sync</t>
        </is>
      </c>
      <c r="D119" s="6" t="inlineStr">
        <is>
          <t>Production</t>
        </is>
      </c>
      <c r="E119" s="6" t="inlineStr">
        <is>
          <t>sync-agent/config-writer.js</t>
        </is>
      </c>
      <c r="F119" s="6" t="inlineStr">
        <is>
          <t>v3.48.0</t>
        </is>
      </c>
    </row>
    <row r="120">
      <c r="A120" s="6" t="inlineStr">
        <is>
          <t>Socket local persistant sync-agent (remplace éphémère)</t>
        </is>
      </c>
      <c r="B120" s="6" t="inlineStr">
        <is>
          <t>IMP-NET-16</t>
        </is>
      </c>
      <c r="C120" s="6" t="inlineStr">
        <is>
          <t>Résilience Réseau &amp; Sync</t>
        </is>
      </c>
      <c r="D120" s="6" t="inlineStr">
        <is>
          <t>Production</t>
        </is>
      </c>
      <c r="E120" s="6" t="inlineStr">
        <is>
          <t>sync-agent/socket.js</t>
        </is>
      </c>
      <c r="F120" s="6" t="inlineStr">
        <is>
          <t>2026</t>
        </is>
      </c>
    </row>
    <row r="121">
      <c r="A121" s="6" t="inlineStr">
        <is>
          <t>Configuration WiFi client à distance depuis dashboard central</t>
        </is>
      </c>
      <c r="B121" s="6" t="inlineStr">
        <is>
          <t>IMP-NET-17</t>
        </is>
      </c>
      <c r="C121" s="6" t="inlineStr">
        <is>
          <t>Résilience Réseau &amp; Sync</t>
        </is>
      </c>
      <c r="D121" s="6" t="inlineStr">
        <is>
          <t>Production</t>
        </is>
      </c>
      <c r="E121" s="6" t="inlineStr">
        <is>
          <t>wifi-config.controller.ts</t>
        </is>
      </c>
      <c r="F121" s="6" t="inlineStr">
        <is>
          <t>2026</t>
        </is>
      </c>
    </row>
    <row r="122">
      <c r="A122" s="6" t="inlineStr">
        <is>
          <t>Alertes réactives (CRUD + règles + escalade)</t>
        </is>
      </c>
      <c r="B122" s="6" t="inlineStr">
        <is>
          <t>IMP-ALR-01</t>
        </is>
      </c>
      <c r="C122" s="6" t="inlineStr">
        <is>
          <t>Monitoring &amp; Alertes</t>
        </is>
      </c>
      <c r="D122" s="6" t="inlineStr">
        <is>
          <t>Production</t>
        </is>
      </c>
      <c r="E122" s="6" t="inlineStr">
        <is>
          <t>alerts.controller.ts, alerting.service.ts</t>
        </is>
      </c>
      <c r="F122" s="6" t="inlineStr">
        <is>
          <t>2025</t>
        </is>
      </c>
    </row>
    <row r="123">
      <c r="A123" s="6" t="inlineStr">
        <is>
          <t>Alertes prédictives (disque + CPU + WiFi + inactivité)</t>
        </is>
      </c>
      <c r="B123" s="6" t="inlineStr">
        <is>
          <t>IMP-ALR-02</t>
        </is>
      </c>
      <c r="C123" s="6" t="inlineStr">
        <is>
          <t>Monitoring &amp; Alertes</t>
        </is>
      </c>
      <c r="D123" s="6" t="inlineStr">
        <is>
          <t>Production</t>
        </is>
      </c>
      <c r="E123" s="6" t="inlineStr">
        <is>
          <t>predictive-alerts.service.ts</t>
        </is>
      </c>
      <c r="F123" s="6" t="inlineStr">
        <is>
          <t>2025</t>
        </is>
      </c>
    </row>
    <row r="124">
      <c r="A124" s="6" t="inlineStr">
        <is>
          <t>Alertes réseau (qualité WiFi + déconnexions)</t>
        </is>
      </c>
      <c r="B124" s="6" t="inlineStr">
        <is>
          <t>IMP-ALR-03</t>
        </is>
      </c>
      <c r="C124" s="6" t="inlineStr">
        <is>
          <t>Monitoring &amp; Alertes</t>
        </is>
      </c>
      <c r="D124" s="6" t="inlineStr">
        <is>
          <t>Production</t>
        </is>
      </c>
      <c r="E124" s="6" t="inlineStr">
        <is>
          <t>network-alerts.service.ts</t>
        </is>
      </c>
      <c r="F124" s="6" t="inlineStr">
        <is>
          <t>2025</t>
        </is>
      </c>
    </row>
    <row r="125">
      <c r="A125" s="6" t="inlineStr">
        <is>
          <t>Vérifications santé système</t>
        </is>
      </c>
      <c r="B125" s="6" t="inlineStr">
        <is>
          <t>IMP-ALR-04</t>
        </is>
      </c>
      <c r="C125" s="6" t="inlineStr">
        <is>
          <t>Monitoring &amp; Alertes</t>
        </is>
      </c>
      <c r="D125" s="6" t="inlineStr">
        <is>
          <t>Production</t>
        </is>
      </c>
      <c r="E125" s="6" t="inlineStr">
        <is>
          <t>health.service.ts</t>
        </is>
      </c>
      <c r="F125" s="6" t="inlineStr">
        <is>
          <t>2025</t>
        </is>
      </c>
    </row>
    <row r="126">
      <c r="A126" s="6" t="inlineStr">
        <is>
          <t>Objectifs &amp; alertes clubs (7 métriques + 3 périodes)</t>
        </is>
      </c>
      <c r="B126" s="6" t="inlineStr">
        <is>
          <t>IMP-ALR-05</t>
        </is>
      </c>
      <c r="C126" s="6" t="inlineStr">
        <is>
          <t>Monitoring &amp; Alertes</t>
        </is>
      </c>
      <c r="D126" s="6" t="inlineStr">
        <is>
          <t>Production</t>
        </is>
      </c>
      <c r="E126" s="6" t="inlineStr">
        <is>
          <t>objectives.controller.ts</t>
        </is>
      </c>
      <c r="F126" s="6" t="inlineStr">
        <is>
          <t>Déc 2025</t>
        </is>
      </c>
    </row>
    <row r="127">
      <c r="A127" s="6" t="inlineStr">
        <is>
          <t>Monitoring ventilateur de bout en bout (alertes + Prometheus + Grafana)</t>
        </is>
      </c>
      <c r="B127" s="6" t="inlineStr">
        <is>
          <t>IMP-ALR-06</t>
        </is>
      </c>
      <c r="C127" s="6" t="inlineStr">
        <is>
          <t>Monitoring &amp; Alertes</t>
        </is>
      </c>
      <c r="D127" s="6" t="inlineStr">
        <is>
          <t>Production</t>
        </is>
      </c>
      <c r="E127" s="6" t="inlineStr">
        <is>
          <t>fan-monitoring.service.ts</t>
        </is>
      </c>
      <c r="F127" s="6" t="inlineStr">
        <is>
          <t>v3.52.0</t>
        </is>
      </c>
    </row>
    <row r="128">
      <c r="A128" s="6" t="inlineStr">
        <is>
          <t>Notification Slack "Site en ligne" sur reconnexion Pi</t>
        </is>
      </c>
      <c r="B128" s="6" t="inlineStr">
        <is>
          <t>IMP-ALR-07</t>
        </is>
      </c>
      <c r="C128" s="6" t="inlineStr">
        <is>
          <t>Monitoring &amp; Alertes</t>
        </is>
      </c>
      <c r="D128" s="6" t="inlineStr">
        <is>
          <t>Production</t>
        </is>
      </c>
      <c r="E128" s="6" t="inlineStr">
        <is>
          <t>slack.service.ts</t>
        </is>
      </c>
      <c r="F128" s="6" t="inlineStr">
        <is>
          <t>v3.49.0</t>
        </is>
      </c>
    </row>
    <row r="129">
      <c r="A129" s="6" t="inlineStr">
        <is>
          <t>Notification Slack réseau rétabli</t>
        </is>
      </c>
      <c r="B129" s="6" t="inlineStr">
        <is>
          <t>IMP-ALR-08</t>
        </is>
      </c>
      <c r="C129" s="6" t="inlineStr">
        <is>
          <t>Monitoring &amp; Alertes</t>
        </is>
      </c>
      <c r="D129" s="6" t="inlineStr">
        <is>
          <t>Production</t>
        </is>
      </c>
      <c r="E129" s="6" t="inlineStr">
        <is>
          <t>alerting.service.ts</t>
        </is>
      </c>
      <c r="F129" s="6" t="inlineStr">
        <is>
          <t>2026</t>
        </is>
      </c>
    </row>
    <row r="130">
      <c r="A130" s="6" t="inlineStr">
        <is>
          <t>Notifications webhook pour alertes</t>
        </is>
      </c>
      <c r="B130" s="6" t="inlineStr">
        <is>
          <t>IMP-ALR-09</t>
        </is>
      </c>
      <c r="C130" s="6" t="inlineStr">
        <is>
          <t>Monitoring &amp; Alertes</t>
        </is>
      </c>
      <c r="D130" s="6" t="inlineStr">
        <is>
          <t>Production</t>
        </is>
      </c>
      <c r="E130" s="6" t="inlineStr">
        <is>
          <t>webhook.service.ts</t>
        </is>
      </c>
      <c r="F130" s="6" t="inlineStr">
        <is>
          <t>Déc 2025</t>
        </is>
      </c>
    </row>
    <row r="131">
      <c r="A131" s="6" t="inlineStr">
        <is>
          <t>Escalade superviseur pour alertes critiques</t>
        </is>
      </c>
      <c r="B131" s="6" t="inlineStr">
        <is>
          <t>IMP-ALR-10</t>
        </is>
      </c>
      <c r="C131" s="6" t="inlineStr">
        <is>
          <t>Monitoring &amp; Alertes</t>
        </is>
      </c>
      <c r="D131" s="6" t="inlineStr">
        <is>
          <t>Production</t>
        </is>
      </c>
      <c r="E131" s="6" t="inlineStr">
        <is>
          <t>alerting.service.ts</t>
        </is>
      </c>
      <c r="F131" s="6" t="inlineStr">
        <is>
          <t>Déc 2025</t>
        </is>
      </c>
    </row>
    <row r="132">
      <c r="A132" s="6" t="inlineStr">
        <is>
          <t>Anti-flapping cooldown Slack + arrêt propre</t>
        </is>
      </c>
      <c r="B132" s="6" t="inlineStr">
        <is>
          <t>IMP-ALR-11</t>
        </is>
      </c>
      <c r="C132" s="6" t="inlineStr">
        <is>
          <t>Monitoring &amp; Alertes</t>
        </is>
      </c>
      <c r="D132" s="6" t="inlineStr">
        <is>
          <t>Production</t>
        </is>
      </c>
      <c r="E132" s="6" t="inlineStr">
        <is>
          <t>alerting.service.ts</t>
        </is>
      </c>
      <c r="F132" s="6" t="inlineStr">
        <is>
          <t>2026</t>
        </is>
      </c>
    </row>
    <row r="133">
      <c r="A133" s="6" t="inlineStr">
        <is>
          <t>Détection crash kiosque de bout en bout + lien télécommande cloud</t>
        </is>
      </c>
      <c r="B133" s="6" t="inlineStr">
        <is>
          <t>IMP-ALR-12</t>
        </is>
      </c>
      <c r="C133" s="6" t="inlineStr">
        <is>
          <t>Monitoring &amp; Alertes</t>
        </is>
      </c>
      <c r="D133" s="6" t="inlineStr">
        <is>
          <t>Production</t>
        </is>
      </c>
      <c r="E133" s="6" t="inlineStr">
        <is>
          <t>kiosk-monitor.service.ts</t>
        </is>
      </c>
      <c r="F133" s="6" t="inlineStr">
        <is>
          <t>2026</t>
        </is>
      </c>
    </row>
    <row r="134">
      <c r="A134" s="6" t="inlineStr">
        <is>
          <t>Pipeline métriques qualité transitions vidéo</t>
        </is>
      </c>
      <c r="B134" s="6" t="inlineStr">
        <is>
          <t>IMP-ALR-13</t>
        </is>
      </c>
      <c r="C134" s="6" t="inlineStr">
        <is>
          <t>Monitoring &amp; Alertes</t>
        </is>
      </c>
      <c r="D134" s="6" t="inlineStr">
        <is>
          <t>Production</t>
        </is>
      </c>
      <c r="E134" s="6" t="inlineStr">
        <is>
          <t>metrics.service.ts</t>
        </is>
      </c>
      <c r="F134" s="6" t="inlineStr">
        <is>
          <t>2026</t>
        </is>
      </c>
    </row>
    <row r="135">
      <c r="A135" s="6" t="inlineStr">
        <is>
          <t>Métrique Prometheus déconnexion Socket + panels Grafana</t>
        </is>
      </c>
      <c r="B135" s="6" t="inlineStr">
        <is>
          <t>IMP-ALR-14</t>
        </is>
      </c>
      <c r="C135" s="6" t="inlineStr">
        <is>
          <t>Monitoring &amp; Alertes</t>
        </is>
      </c>
      <c r="D135" s="6" t="inlineStr">
        <is>
          <t>Production</t>
        </is>
      </c>
      <c r="E135" s="6" t="inlineStr">
        <is>
          <t>metrics.service.ts</t>
        </is>
      </c>
      <c r="F135" s="6" t="inlineStr">
        <is>
          <t>2026</t>
        </is>
      </c>
    </row>
    <row r="136">
      <c r="A136" s="6" t="inlineStr">
        <is>
          <t>Métriques pool connexions DB (actif/inactif)</t>
        </is>
      </c>
      <c r="B136" s="6" t="inlineStr">
        <is>
          <t>IMP-ALR-15</t>
        </is>
      </c>
      <c r="C136" s="6" t="inlineStr">
        <is>
          <t>Monitoring &amp; Alertes</t>
        </is>
      </c>
      <c r="D136" s="6" t="inlineStr">
        <is>
          <t>Production</t>
        </is>
      </c>
      <c r="E136" s="6" t="inlineStr">
        <is>
          <t>metrics.service.ts</t>
        </is>
      </c>
      <c r="F136" s="6" t="inlineStr">
        <is>
          <t>2026</t>
        </is>
      </c>
    </row>
    <row r="137">
      <c r="A137" s="6" t="inlineStr">
        <is>
          <t>Dashboards Grafana Cloud avec auth Bearer sur /metrics</t>
        </is>
      </c>
      <c r="B137" s="6" t="inlineStr">
        <is>
          <t>IMP-ALR-16</t>
        </is>
      </c>
      <c r="C137" s="6" t="inlineStr">
        <is>
          <t>Monitoring &amp; Alertes</t>
        </is>
      </c>
      <c r="D137" s="6" t="inlineStr">
        <is>
          <t>Production</t>
        </is>
      </c>
      <c r="E137" s="6" t="inlineStr">
        <is>
          <t>metrics.middleware.ts</t>
        </is>
      </c>
      <c r="F137" s="6" t="inlineStr">
        <is>
          <t>2026</t>
        </is>
      </c>
    </row>
    <row r="138">
      <c r="A138" s="6" t="inlineStr">
        <is>
          <t>3 dashboards Grafana restructurés + mémoire/prédictif/facturation</t>
        </is>
      </c>
      <c r="B138" s="6" t="inlineStr">
        <is>
          <t>IMP-ALR-17</t>
        </is>
      </c>
      <c r="C138" s="6" t="inlineStr">
        <is>
          <t>Monitoring &amp; Alertes</t>
        </is>
      </c>
      <c r="D138" s="6" t="inlineStr">
        <is>
          <t>Production</t>
        </is>
      </c>
      <c r="E138" s="6" t="inlineStr">
        <is>
          <t>grafana/</t>
        </is>
      </c>
      <c r="F138" s="6" t="inlineStr">
        <is>
          <t>2026</t>
        </is>
      </c>
    </row>
    <row r="139">
      <c r="A139" s="6" t="inlineStr">
        <is>
          <t>Lacunes supervision complétées (4 métriques + 3 alertes + kiosque Grafana)</t>
        </is>
      </c>
      <c r="B139" s="6" t="inlineStr">
        <is>
          <t>IMP-ALR-18</t>
        </is>
      </c>
      <c r="C139" s="6" t="inlineStr">
        <is>
          <t>Monitoring &amp; Alertes</t>
        </is>
      </c>
      <c r="D139" s="6" t="inlineStr">
        <is>
          <t>Production</t>
        </is>
      </c>
      <c r="E139" s="6" t="inlineStr">
        <is>
          <t>monitoring/</t>
        </is>
      </c>
      <c r="F139" s="6" t="inlineStr">
        <is>
          <t>2026</t>
        </is>
      </c>
    </row>
    <row r="140">
      <c r="A140" s="6" t="inlineStr">
        <is>
          <t>Métriques FTP + sync + rate-limit + logs corrélés</t>
        </is>
      </c>
      <c r="B140" s="6" t="inlineStr">
        <is>
          <t>IMP-ALR-19</t>
        </is>
      </c>
      <c r="C140" s="6" t="inlineStr">
        <is>
          <t>Monitoring &amp; Alertes</t>
        </is>
      </c>
      <c r="D140" s="6" t="inlineStr">
        <is>
          <t>Production</t>
        </is>
      </c>
      <c r="E140" s="6" t="inlineStr">
        <is>
          <t>metrics.service.ts</t>
        </is>
      </c>
      <c r="F140" s="6" t="inlineStr">
        <is>
          <t>2026</t>
        </is>
      </c>
    </row>
    <row r="141">
      <c r="A141" s="6" t="inlineStr">
        <is>
          <t>Journalisation centralisée Logtail/Better Stack</t>
        </is>
      </c>
      <c r="B141" s="6" t="inlineStr">
        <is>
          <t>IMP-ALR-20</t>
        </is>
      </c>
      <c r="C141" s="6" t="inlineStr">
        <is>
          <t>Monitoring &amp; Alertes</t>
        </is>
      </c>
      <c r="D141" s="6" t="inlineStr">
        <is>
          <t>Production</t>
        </is>
      </c>
      <c r="E141" s="6" t="inlineStr">
        <is>
          <t>logtail.service.ts</t>
        </is>
      </c>
      <c r="F141" s="6" t="inlineStr">
        <is>
          <t>Déc 2025</t>
        </is>
      </c>
    </row>
    <row r="142">
      <c r="A142" s="6" t="inlineStr">
        <is>
          <t>3 seuils d'alerte horaires avec flux de données</t>
        </is>
      </c>
      <c r="B142" s="6" t="inlineStr">
        <is>
          <t>IMP-ALR-21</t>
        </is>
      </c>
      <c r="C142" s="6" t="inlineStr">
        <is>
          <t>Monitoring &amp; Alertes</t>
        </is>
      </c>
      <c r="D142" s="6" t="inlineStr">
        <is>
          <t>Production</t>
        </is>
      </c>
      <c r="E142" s="6" t="inlineStr">
        <is>
          <t>alerting.service.ts</t>
        </is>
      </c>
      <c r="F142" s="6" t="inlineStr">
        <is>
          <t>2026</t>
        </is>
      </c>
    </row>
    <row r="143">
      <c r="A143" s="6" t="inlineStr">
        <is>
          <t>Smoke tests pour monitoring + métriques réseau Pi</t>
        </is>
      </c>
      <c r="B143" s="6" t="inlineStr">
        <is>
          <t>IMP-ALR-22</t>
        </is>
      </c>
      <c r="C143" s="6" t="inlineStr">
        <is>
          <t>Monitoring &amp; Alertes</t>
        </is>
      </c>
      <c r="D143" s="6" t="inlineStr">
        <is>
          <t>Production</t>
        </is>
      </c>
      <c r="E143" s="6" t="inlineStr">
        <is>
          <t>smoke/</t>
        </is>
      </c>
      <c r="F143" s="6" t="inlineStr">
        <is>
          <t>2026</t>
        </is>
      </c>
    </row>
    <row r="144">
      <c r="A144" s="6" t="inlineStr">
        <is>
          <t>Système de jobs admin (build + deploy + sync + maintenance)</t>
        </is>
      </c>
      <c r="B144" s="6" t="inlineStr">
        <is>
          <t>IMP-ADM-01</t>
        </is>
      </c>
      <c r="C144" s="6" t="inlineStr">
        <is>
          <t>Administration &amp; Infrastructure</t>
        </is>
      </c>
      <c r="D144" s="6" t="inlineStr">
        <is>
          <t>Production</t>
        </is>
      </c>
      <c r="E144" s="6" t="inlineStr">
        <is>
          <t>admin-ops.service.ts</t>
        </is>
      </c>
      <c r="F144" s="6" t="inlineStr">
        <is>
          <t>2025</t>
        </is>
      </c>
    </row>
    <row r="145">
      <c r="A145" s="6" t="inlineStr">
        <is>
          <t>Télécommande cloud (protégée par PIN + rate-limited)</t>
        </is>
      </c>
      <c r="B145" s="6" t="inlineStr">
        <is>
          <t>IMP-ADM-02</t>
        </is>
      </c>
      <c r="C145" s="6" t="inlineStr">
        <is>
          <t>Administration &amp; Infrastructure</t>
        </is>
      </c>
      <c r="D145" s="6" t="inlineStr">
        <is>
          <t>Production</t>
        </is>
      </c>
      <c r="E145" s="6" t="inlineStr">
        <is>
          <t>remote.controller.ts</t>
        </is>
      </c>
      <c r="F145" s="6" t="inlineStr">
        <is>
          <t>2025</t>
        </is>
      </c>
    </row>
    <row r="146">
      <c r="A146" s="6" t="inlineStr">
        <is>
          <t>Groupes de sites (regroupement logique)</t>
        </is>
      </c>
      <c r="B146" s="6" t="inlineStr">
        <is>
          <t>IMP-ADM-03</t>
        </is>
      </c>
      <c r="C146" s="6" t="inlineStr">
        <is>
          <t>Administration &amp; Infrastructure</t>
        </is>
      </c>
      <c r="D146" s="6" t="inlineStr">
        <is>
          <t>Production</t>
        </is>
      </c>
      <c r="E146" s="6" t="inlineStr">
        <is>
          <t>groups.controller.ts</t>
        </is>
      </c>
      <c r="F146" s="6" t="inlineStr">
        <is>
          <t>2025</t>
        </is>
      </c>
    </row>
    <row r="147">
      <c r="A147" s="6" t="inlineStr">
        <is>
          <t>Email transactionnel (alertes + reset + notifications)</t>
        </is>
      </c>
      <c r="B147" s="6" t="inlineStr">
        <is>
          <t>IMP-ADM-04</t>
        </is>
      </c>
      <c r="C147" s="6" t="inlineStr">
        <is>
          <t>Administration &amp; Infrastructure</t>
        </is>
      </c>
      <c r="D147" s="6" t="inlineStr">
        <is>
          <t>Production</t>
        </is>
      </c>
      <c r="E147" s="6" t="inlineStr">
        <is>
          <t>email.service.ts</t>
        </is>
      </c>
      <c r="F147" s="6" t="inlineStr">
        <is>
          <t>Déc 2025</t>
        </is>
      </c>
    </row>
    <row r="148">
      <c r="A148" s="6" t="inlineStr">
        <is>
          <t>Gestionnaire mémoire (prévention fuites mémoire)</t>
        </is>
      </c>
      <c r="B148" s="6" t="inlineStr">
        <is>
          <t>IMP-ADM-05</t>
        </is>
      </c>
      <c r="C148" s="6" t="inlineStr">
        <is>
          <t>Administration &amp; Infrastructure</t>
        </is>
      </c>
      <c r="D148" s="6" t="inlineStr">
        <is>
          <t>Production</t>
        </is>
      </c>
      <c r="E148" s="6" t="inlineStr">
        <is>
          <t>memory-manager.service.ts</t>
        </is>
      </c>
      <c r="F148" s="6" t="inlineStr">
        <is>
          <t>2025</t>
        </is>
      </c>
    </row>
    <row r="149">
      <c r="A149" s="6" t="inlineStr">
        <is>
          <t>Cache mémoire (TTL 60s)</t>
        </is>
      </c>
      <c r="B149" s="6" t="inlineStr">
        <is>
          <t>IMP-ADM-06</t>
        </is>
      </c>
      <c r="C149" s="6" t="inlineStr">
        <is>
          <t>Administration &amp; Infrastructure</t>
        </is>
      </c>
      <c r="D149" s="6" t="inlineStr">
        <is>
          <t>Production</t>
        </is>
      </c>
      <c r="E149" s="6" t="inlineStr">
        <is>
          <t>memory-cache.service.ts</t>
        </is>
      </c>
      <c r="F149" s="6" t="inlineStr">
        <is>
          <t>2025</t>
        </is>
      </c>
    </row>
    <row r="150">
      <c r="A150" s="6" t="inlineStr">
        <is>
          <t>Nettoyage automatique rétention données</t>
        </is>
      </c>
      <c r="B150" s="6" t="inlineStr">
        <is>
          <t>IMP-ADM-07</t>
        </is>
      </c>
      <c r="C150" s="6" t="inlineStr">
        <is>
          <t>Administration &amp; Infrastructure</t>
        </is>
      </c>
      <c r="D150" s="6" t="inlineStr">
        <is>
          <t>Production</t>
        </is>
      </c>
      <c r="E150" s="6" t="inlineStr">
        <is>
          <t>add-data-retention-cleanup.sql</t>
        </is>
      </c>
      <c r="F150" s="6" t="inlineStr">
        <is>
          <t>2025</t>
        </is>
      </c>
    </row>
    <row r="151">
      <c r="A151" s="6" t="inlineStr">
        <is>
          <t>Slugs URL de site (URLs lisibles)</t>
        </is>
      </c>
      <c r="B151" s="6" t="inlineStr">
        <is>
          <t>IMP-ADM-08</t>
        </is>
      </c>
      <c r="C151" s="6" t="inlineStr">
        <is>
          <t>Administration &amp; Infrastructure</t>
        </is>
      </c>
      <c r="D151" s="6" t="inlineStr">
        <is>
          <t>Production</t>
        </is>
      </c>
      <c r="E151" s="6" t="inlineStr">
        <is>
          <t>add-hostname-slug.sql</t>
        </is>
      </c>
      <c r="F151" s="6" t="inlineStr">
        <is>
          <t>2025</t>
        </is>
      </c>
    </row>
    <row r="152">
      <c r="A152" s="6" t="inlineStr">
        <is>
          <t>Repository pattern 100% (24 repositories + ESLint bloquant)</t>
        </is>
      </c>
      <c r="B152" s="6" t="inlineStr">
        <is>
          <t>IMP-ADM-09</t>
        </is>
      </c>
      <c r="C152" s="6" t="inlineStr">
        <is>
          <t>Administration &amp; Infrastructure</t>
        </is>
      </c>
      <c r="D152" s="6" t="inlineStr">
        <is>
          <t>Production</t>
        </is>
      </c>
      <c r="E152" s="6" t="inlineStr">
        <is>
          <t>base.repository.ts + 23 repos</t>
        </is>
      </c>
      <c r="F152" s="6" t="inlineStr">
        <is>
          <t>Déc 2025</t>
        </is>
      </c>
    </row>
    <row r="153">
      <c r="A153" s="6" t="inlineStr">
        <is>
          <t>Documentation OpenAPI Swagger (30+ endpoints)</t>
        </is>
      </c>
      <c r="B153" s="6" t="inlineStr">
        <is>
          <t>IMP-ADM-10</t>
        </is>
      </c>
      <c r="C153" s="6" t="inlineStr">
        <is>
          <t>Administration &amp; Infrastructure</t>
        </is>
      </c>
      <c r="D153" s="6" t="inlineStr">
        <is>
          <t>Production</t>
        </is>
      </c>
      <c r="E153" s="6" t="inlineStr">
        <is>
          <t>swagger.ts</t>
        </is>
      </c>
      <c r="F153" s="6" t="inlineStr">
        <is>
          <t>Déc 2025</t>
        </is>
      </c>
    </row>
    <row r="154">
      <c r="A154" s="6" t="inlineStr">
        <is>
          <t>Vue carte des sites (Leaflet + statut temps réel)</t>
        </is>
      </c>
      <c r="B154" s="6" t="inlineStr">
        <is>
          <t>IMP-ADM-11</t>
        </is>
      </c>
      <c r="C154" s="6" t="inlineStr">
        <is>
          <t>Administration &amp; Infrastructure</t>
        </is>
      </c>
      <c r="D154" s="6" t="inlineStr">
        <is>
          <t>Production</t>
        </is>
      </c>
      <c r="E154" s="6" t="inlineStr">
        <is>
          <t>sites-map.component.ts</t>
        </is>
      </c>
      <c r="F154" s="6" t="inlineStr">
        <is>
          <t>2025</t>
        </is>
      </c>
    </row>
    <row r="155">
      <c r="A155" s="6" t="inlineStr">
        <is>
          <t>Bundle de diagnostic (logs kernel dmesg + lsusb + logs étendus 24h)</t>
        </is>
      </c>
      <c r="B155" s="6" t="inlineStr">
        <is>
          <t>IMP-ADM-12</t>
        </is>
      </c>
      <c r="C155" s="6" t="inlineStr">
        <is>
          <t>Administration &amp; Infrastructure</t>
        </is>
      </c>
      <c r="D155" s="6" t="inlineStr">
        <is>
          <t>Production</t>
        </is>
      </c>
      <c r="E155" s="6" t="inlineStr">
        <is>
          <t>debug-bundle.sh</t>
        </is>
      </c>
      <c r="F155" s="6" t="inlineStr">
        <is>
          <t>2026</t>
        </is>
      </c>
    </row>
    <row r="156">
      <c r="A156" s="6" t="inlineStr">
        <is>
          <t>Générateur QR code avec bouton accès télécommande cloud</t>
        </is>
      </c>
      <c r="B156" s="6" t="inlineStr">
        <is>
          <t>IMP-ADM-13</t>
        </is>
      </c>
      <c r="C156" s="6" t="inlineStr">
        <is>
          <t>Administration &amp; Infrastructure</t>
        </is>
      </c>
      <c r="D156" s="6" t="inlineStr">
        <is>
          <t>Production</t>
        </is>
      </c>
      <c r="E156" s="6" t="inlineStr">
        <is>
          <t>qr-code.component.ts</t>
        </is>
      </c>
      <c r="F156" s="6" t="inlineStr">
        <is>
          <t>2026</t>
        </is>
      </c>
    </row>
    <row r="157">
      <c r="A157" s="6" t="inlineStr">
        <is>
          <t>Télécommande cloud : vue live TV + monitoring état lecteur</t>
        </is>
      </c>
      <c r="B157" s="6" t="inlineStr">
        <is>
          <t>IMP-ADM-14</t>
        </is>
      </c>
      <c r="C157" s="6" t="inlineStr">
        <is>
          <t>Administration &amp; Infrastructure</t>
        </is>
      </c>
      <c r="D157" s="6" t="inlineStr">
        <is>
          <t>Production</t>
        </is>
      </c>
      <c r="E157" s="6" t="inlineStr">
        <is>
          <t>remote.controller.ts</t>
        </is>
      </c>
      <c r="F157" s="6" t="inlineStr">
        <is>
          <t>2026</t>
        </is>
      </c>
    </row>
    <row r="158">
      <c r="A158" s="6" t="inlineStr">
        <is>
          <t>Télécommande cloud : affichage licence + indicateur REC</t>
        </is>
      </c>
      <c r="B158" s="6" t="inlineStr">
        <is>
          <t>IMP-ADM-15</t>
        </is>
      </c>
      <c r="C158" s="6" t="inlineStr">
        <is>
          <t>Administration &amp; Infrastructure</t>
        </is>
      </c>
      <c r="D158" s="6" t="inlineStr">
        <is>
          <t>Production</t>
        </is>
      </c>
      <c r="E158" s="6" t="inlineStr">
        <is>
          <t>remote.component.ts</t>
        </is>
      </c>
      <c r="F158" s="6" t="inlineStr">
        <is>
          <t>2026</t>
        </is>
      </c>
    </row>
    <row r="159">
      <c r="A159" s="6" t="inlineStr">
        <is>
          <t>Télécommande cloud : relais capture écran HTTP</t>
        </is>
      </c>
      <c r="B159" s="6" t="inlineStr">
        <is>
          <t>IMP-ADM-16</t>
        </is>
      </c>
      <c r="C159" s="6" t="inlineStr">
        <is>
          <t>Administration &amp; Infrastructure</t>
        </is>
      </c>
      <c r="D159" s="6" t="inlineStr">
        <is>
          <t>Production</t>
        </is>
      </c>
      <c r="E159" s="6" t="inlineStr">
        <is>
          <t>remote.controller.ts</t>
        </is>
      </c>
      <c r="F159" s="6" t="inlineStr">
        <is>
          <t>2026</t>
        </is>
      </c>
    </row>
    <row r="160">
      <c r="A160" s="6" t="inlineStr">
        <is>
          <t>Onglet profils dans détail site : interface multi-config</t>
        </is>
      </c>
      <c r="B160" s="6" t="inlineStr">
        <is>
          <t>IMP-ADM-17</t>
        </is>
      </c>
      <c r="C160" s="6" t="inlineStr">
        <is>
          <t>Administration &amp; Infrastructure</t>
        </is>
      </c>
      <c r="D160" s="6" t="inlineStr">
        <is>
          <t>Production</t>
        </is>
      </c>
      <c r="E160" s="6" t="inlineStr">
        <is>
          <t>profiles.component.ts</t>
        </is>
      </c>
      <c r="F160" s="6" t="inlineStr">
        <is>
          <t>2026</t>
        </is>
      </c>
    </row>
    <row r="161">
      <c r="A161" s="6" t="inlineStr">
        <is>
          <t>Modal de suppression UX + paramètres suppression Pi</t>
        </is>
      </c>
      <c r="B161" s="6" t="inlineStr">
        <is>
          <t>IMP-ADM-18</t>
        </is>
      </c>
      <c r="C161" s="6" t="inlineStr">
        <is>
          <t>Administration &amp; Infrastructure</t>
        </is>
      </c>
      <c r="D161" s="6" t="inlineStr">
        <is>
          <t>Production</t>
        </is>
      </c>
      <c r="E161" s="6" t="inlineStr">
        <is>
          <t>site-detail.component.ts</t>
        </is>
      </c>
      <c r="F161" s="6" t="inlineStr">
        <is>
          <t>2026</t>
        </is>
      </c>
    </row>
    <row r="162">
      <c r="A162" s="6" t="inlineStr">
        <is>
          <t>Suppression vidéo cloud/Pi (bibliothèque vidéo)</t>
        </is>
      </c>
      <c r="B162" s="6" t="inlineStr">
        <is>
          <t>IMP-ADM-19</t>
        </is>
      </c>
      <c r="C162" s="6" t="inlineStr">
        <is>
          <t>Administration &amp; Infrastructure</t>
        </is>
      </c>
      <c r="D162" s="6" t="inlineStr">
        <is>
          <t>Production</t>
        </is>
      </c>
      <c r="E162" s="6" t="inlineStr">
        <is>
          <t>content.controller.ts</t>
        </is>
      </c>
      <c r="F162" s="6" t="inlineStr">
        <is>
          <t>2026</t>
        </is>
      </c>
    </row>
    <row r="163">
      <c r="A163" s="6" t="inlineStr">
        <is>
          <t>Planifications récurrentes cron (quotidien/hebdo/mensuel/personnalisé)</t>
        </is>
      </c>
      <c r="B163" s="6" t="inlineStr">
        <is>
          <t>IMP-ADM-20</t>
        </is>
      </c>
      <c r="C163" s="6" t="inlineStr">
        <is>
          <t>Administration &amp; Infrastructure</t>
        </is>
      </c>
      <c r="D163" s="6" t="inlineStr">
        <is>
          <t>Production</t>
        </is>
      </c>
      <c r="E163" s="6" t="inlineStr">
        <is>
          <t>cron-scheduler.service.ts</t>
        </is>
      </c>
      <c r="F163" s="6" t="inlineStr">
        <is>
          <t>Déc 2025</t>
        </is>
      </c>
    </row>
    <row r="164">
      <c r="A164" s="6" t="inlineStr">
        <is>
          <t>Rate-limit analytics Pi (500 req/min)</t>
        </is>
      </c>
      <c r="B164" s="6" t="inlineStr">
        <is>
          <t>IMP-ADM-21</t>
        </is>
      </c>
      <c r="C164" s="6" t="inlineStr">
        <is>
          <t>Administration &amp; Infrastructure</t>
        </is>
      </c>
      <c r="D164" s="6" t="inlineStr">
        <is>
          <t>Production</t>
        </is>
      </c>
      <c r="E164" s="6" t="inlineStr">
        <is>
          <t>rate-limit.middleware.ts</t>
        </is>
      </c>
      <c r="F164" s="6" t="inlineStr">
        <is>
          <t>2025</t>
        </is>
      </c>
    </row>
    <row r="165">
      <c r="A165" s="6" t="inlineStr">
        <is>
          <t>Auto-sync versions sous-paquets raspberry à la release</t>
        </is>
      </c>
      <c r="B165" s="6" t="inlineStr">
        <is>
          <t>IMP-ADM-22</t>
        </is>
      </c>
      <c r="C165" s="6" t="inlineStr">
        <is>
          <t>Administration &amp; Infrastructure</t>
        </is>
      </c>
      <c r="D165" s="6" t="inlineStr">
        <is>
          <t>Production</t>
        </is>
      </c>
      <c r="E165" s="6" t="inlineStr">
        <is>
          <t>release.sh</t>
        </is>
      </c>
      <c r="F165" s="6" t="inlineStr">
        <is>
          <t>2026</t>
        </is>
      </c>
    </row>
    <row r="166">
      <c r="A166" s="6" t="inlineStr">
        <is>
          <t>Playlists personnalisées (ordre + aléatoire + pondéré)</t>
        </is>
      </c>
      <c r="B166" s="6" t="inlineStr">
        <is>
          <t>IMP-PLS-01</t>
        </is>
      </c>
      <c r="C166" s="6" t="inlineStr">
        <is>
          <t>Playlists &amp; Programmation</t>
        </is>
      </c>
      <c r="D166" s="6" t="inlineStr">
        <is>
          <t>Production</t>
        </is>
      </c>
      <c r="E166" s="6" t="inlineStr">
        <is>
          <t>playlist-schedule.controller.ts</t>
        </is>
      </c>
      <c r="F166" s="6" t="inlineStr">
        <is>
          <t>Déc 2025</t>
        </is>
      </c>
    </row>
    <row r="167">
      <c r="A167" s="6" t="inlineStr">
        <is>
          <t>Programmation horaire (jours + heures + contexte match)</t>
        </is>
      </c>
      <c r="B167" s="6" t="inlineStr">
        <is>
          <t>IMP-PLS-02</t>
        </is>
      </c>
      <c r="C167" s="6" t="inlineStr">
        <is>
          <t>Playlists &amp; Programmation</t>
        </is>
      </c>
      <c r="D167" s="6" t="inlineStr">
        <is>
          <t>Production</t>
        </is>
      </c>
      <c r="E167" s="6" t="inlineStr">
        <is>
          <t>cron-scheduler.service.ts</t>
        </is>
      </c>
      <c r="F167" s="6" t="inlineStr">
        <is>
          <t>Déc 2025</t>
        </is>
      </c>
    </row>
    <row r="168">
      <c r="A168" s="6" t="inlineStr">
        <is>
          <t>Planifications récurrentes</t>
        </is>
      </c>
      <c r="B168" s="6" t="inlineStr">
        <is>
          <t>IMP-PLS-03</t>
        </is>
      </c>
      <c r="C168" s="6" t="inlineStr">
        <is>
          <t>Playlists &amp; Programmation</t>
        </is>
      </c>
      <c r="D168" s="6" t="inlineStr">
        <is>
          <t>Production</t>
        </is>
      </c>
      <c r="E168" s="6" t="inlineStr">
        <is>
          <t>add-recurring-schedules.sql</t>
        </is>
      </c>
      <c r="F168" s="6" t="inlineStr">
        <is>
          <t>Déc 2025</t>
        </is>
      </c>
    </row>
    <row r="169">
      <c r="A169" s="6" t="inlineStr">
        <is>
          <t>Gestion utilisateurs multi-tenant (super_admin &gt; admin &gt; operator &gt; viewer)</t>
        </is>
      </c>
      <c r="B169" s="6" t="inlineStr">
        <is>
          <t>IMP-USR-01</t>
        </is>
      </c>
      <c r="C169" s="6" t="inlineStr">
        <is>
          <t>Gestion Utilisateurs &amp; Rôles</t>
        </is>
      </c>
      <c r="D169" s="6" t="inlineStr">
        <is>
          <t>Production</t>
        </is>
      </c>
      <c r="E169" s="6" t="inlineStr">
        <is>
          <t>users.controller.ts</t>
        </is>
      </c>
      <c r="F169" s="6" t="inlineStr">
        <is>
          <t>2025</t>
        </is>
      </c>
    </row>
    <row r="170">
      <c r="A170" s="6" t="inlineStr">
        <is>
          <t>Rôles sponsor/annonceur + agence avec enrichissement JWT</t>
        </is>
      </c>
      <c r="B170" s="6" t="inlineStr">
        <is>
          <t>IMP-USR-02</t>
        </is>
      </c>
      <c r="C170" s="6" t="inlineStr">
        <is>
          <t>Gestion Utilisateurs &amp; Rôles</t>
        </is>
      </c>
      <c r="D170" s="6" t="inlineStr">
        <is>
          <t>Production</t>
        </is>
      </c>
      <c r="E170" s="6" t="inlineStr">
        <is>
          <t>auth.service.ts</t>
        </is>
      </c>
      <c r="F170" s="6" t="inlineStr">
        <is>
          <t>Déc 2025</t>
        </is>
      </c>
    </row>
    <row r="171">
      <c r="A171" s="6" t="inlineStr">
        <is>
          <t>Portail agences : gestion multi-annonceurs</t>
        </is>
      </c>
      <c r="B171" s="6" t="inlineStr">
        <is>
          <t>IMP-USR-03</t>
        </is>
      </c>
      <c r="C171" s="6" t="inlineStr">
        <is>
          <t>Gestion Utilisateurs &amp; Rôles</t>
        </is>
      </c>
      <c r="D171" s="6" t="inlineStr">
        <is>
          <t>Production</t>
        </is>
      </c>
      <c r="E171" s="6" t="inlineStr">
        <is>
          <t>agency.controller.ts</t>
        </is>
      </c>
      <c r="F171" s="6" t="inlineStr">
        <is>
          <t>Déc 2025</t>
        </is>
      </c>
    </row>
    <row r="172">
      <c r="A172" s="6" t="inlineStr">
        <is>
          <t>Page gestion utilisateurs (panel admin)</t>
        </is>
      </c>
      <c r="B172" s="6" t="inlineStr">
        <is>
          <t>IMP-USR-04</t>
        </is>
      </c>
      <c r="C172" s="6" t="inlineStr">
        <is>
          <t>Gestion Utilisateurs &amp; Rôles</t>
        </is>
      </c>
      <c r="D172" s="6" t="inlineStr">
        <is>
          <t>Production</t>
        </is>
      </c>
      <c r="E172" s="6" t="inlineStr">
        <is>
          <t>users.component.ts</t>
        </is>
      </c>
      <c r="F172" s="6" t="inlineStr">
        <is>
          <t>Déc 2025</t>
        </is>
      </c>
    </row>
    <row r="173">
      <c r="A173" s="6" t="inlineStr">
        <is>
          <t>Documentation consolidée (199 fichiers + point d'entrée 00-START-HERE.md)</t>
        </is>
      </c>
      <c r="B173" s="6" t="inlineStr">
        <is>
          <t>IMP-DOC-01</t>
        </is>
      </c>
      <c r="C173" s="6" t="inlineStr">
        <is>
          <t>Documentation &amp; Qualité</t>
        </is>
      </c>
      <c r="D173" s="6" t="inlineStr">
        <is>
          <t>Production</t>
        </is>
      </c>
      <c r="E173" s="6" t="inlineStr">
        <is>
          <t>docs/</t>
        </is>
      </c>
      <c r="F173" s="6" t="inlineStr">
        <is>
          <t>Déc 2025</t>
        </is>
      </c>
    </row>
    <row r="174">
      <c r="A174" s="6" t="inlineStr">
        <is>
          <t>Guide personnalisation overlay</t>
        </is>
      </c>
      <c r="B174" s="6" t="inlineStr">
        <is>
          <t>IMP-DOC-02</t>
        </is>
      </c>
      <c r="C174" s="6" t="inlineStr">
        <is>
          <t>Documentation &amp; Qualité</t>
        </is>
      </c>
      <c r="D174" s="6" t="inlineStr">
        <is>
          <t>Production</t>
        </is>
      </c>
      <c r="E174" s="6" t="inlineStr">
        <is>
          <t>docs/guides/</t>
        </is>
      </c>
      <c r="F174" s="6" t="inlineStr">
        <is>
          <t>Déc 2025</t>
        </is>
      </c>
    </row>
    <row r="175">
      <c r="A175" s="6" t="inlineStr">
        <is>
          <t>Documentation système sponsors</t>
        </is>
      </c>
      <c r="B175" s="6" t="inlineStr">
        <is>
          <t>IMP-DOC-03</t>
        </is>
      </c>
      <c r="C175" s="6" t="inlineStr">
        <is>
          <t>Documentation &amp; Qualité</t>
        </is>
      </c>
      <c r="D175" s="6" t="inlineStr">
        <is>
          <t>Production</t>
        </is>
      </c>
      <c r="E175" s="6" t="inlineStr">
        <is>
          <t>docs/features/</t>
        </is>
      </c>
      <c r="F175" s="6" t="inlineStr">
        <is>
          <t>Déc 2025</t>
        </is>
      </c>
    </row>
    <row r="176">
      <c r="A176" s="6" t="inlineStr">
        <is>
          <t>Guide correction hotspot Android</t>
        </is>
      </c>
      <c r="B176" s="6" t="inlineStr">
        <is>
          <t>IMP-DOC-04</t>
        </is>
      </c>
      <c r="C176" s="6" t="inlineStr">
        <is>
          <t>Documentation &amp; Qualité</t>
        </is>
      </c>
      <c r="D176" s="6" t="inlineStr">
        <is>
          <t>Production</t>
        </is>
      </c>
      <c r="E176" s="6" t="inlineStr">
        <is>
          <t>docs/guides/</t>
        </is>
      </c>
      <c r="F176" s="6" t="inlineStr">
        <is>
          <t>Jan 2026</t>
        </is>
      </c>
    </row>
    <row r="177">
      <c r="A177" s="6" t="inlineStr">
        <is>
          <t>Guide environnements WiFi mesh</t>
        </is>
      </c>
      <c r="B177" s="6" t="inlineStr">
        <is>
          <t>IMP-DOC-05</t>
        </is>
      </c>
      <c r="C177" s="6" t="inlineStr">
        <is>
          <t>Documentation &amp; Qualité</t>
        </is>
      </c>
      <c r="D177" s="6" t="inlineStr">
        <is>
          <t>Production</t>
        </is>
      </c>
      <c r="E177" s="6" t="inlineStr">
        <is>
          <t>docs/guides/</t>
        </is>
      </c>
      <c r="F177" s="6" t="inlineStr">
        <is>
          <t>Jan 2026</t>
        </is>
      </c>
    </row>
    <row r="178">
      <c r="A178" s="6" t="inlineStr">
        <is>
          <t>Guide stabilité WiFi USB</t>
        </is>
      </c>
      <c r="B178" s="6" t="inlineStr">
        <is>
          <t>IMP-DOC-06</t>
        </is>
      </c>
      <c r="C178" s="6" t="inlineStr">
        <is>
          <t>Documentation &amp; Qualité</t>
        </is>
      </c>
      <c r="D178" s="6" t="inlineStr">
        <is>
          <t>Production</t>
        </is>
      </c>
      <c r="E178" s="6" t="inlineStr">
        <is>
          <t>docs/guides/WIFI_USB_GUIDE.md</t>
        </is>
      </c>
      <c r="F178" s="6" t="inlineStr">
        <is>
          <t>Fév 2026</t>
        </is>
      </c>
    </row>
    <row r="179">
      <c r="A179" s="6" t="inlineStr">
        <is>
          <t>Documentation framework SAFe complète</t>
        </is>
      </c>
      <c r="B179" s="6" t="inlineStr">
        <is>
          <t>IMP-DOC-07</t>
        </is>
      </c>
      <c r="C179" s="6" t="inlineStr">
        <is>
          <t>Documentation &amp; Qualité</t>
        </is>
      </c>
      <c r="D179" s="6" t="inlineStr">
        <is>
          <t>Production</t>
        </is>
      </c>
      <c r="E179" s="6" t="inlineStr">
        <is>
          <t>docs/safe/</t>
        </is>
      </c>
      <c r="F179" s="6" t="inlineStr">
        <is>
          <t>Fév 2026</t>
        </is>
      </c>
    </row>
    <row r="180"/>
    <row r="181">
      <c r="A181" s="2" t="inlineStr">
        <is>
          <t>Statistiques Produit</t>
        </is>
      </c>
    </row>
    <row r="182">
      <c r="A182" s="4" t="inlineStr">
        <is>
          <t>Features implémentées</t>
        </is>
      </c>
      <c r="B182" s="4" t="inlineStr">
        <is>
          <t>184</t>
        </is>
      </c>
    </row>
    <row r="183">
      <c r="A183" s="4" t="inlineStr">
        <is>
          <t>Domaines fonctionnels</t>
        </is>
      </c>
      <c r="B183" s="4" t="inlineStr"/>
    </row>
    <row r="184">
      <c r="A184" s="4" t="inlineStr">
        <is>
          <t>Controllers API</t>
        </is>
      </c>
      <c r="B184" s="4" t="inlineStr">
        <is>
          <t>38</t>
        </is>
      </c>
    </row>
    <row r="185">
      <c r="A185" s="4" t="inlineStr">
        <is>
          <t>Services métier</t>
        </is>
      </c>
      <c r="B185" s="4" t="inlineStr">
        <is>
          <t>37</t>
        </is>
      </c>
    </row>
    <row r="186">
      <c r="A186" s="4" t="inlineStr">
        <is>
          <t>Repositories</t>
        </is>
      </c>
      <c r="B186" s="4" t="inlineStr">
        <is>
          <t>24</t>
        </is>
      </c>
    </row>
    <row r="187">
      <c r="A187" s="4" t="inlineStr">
        <is>
          <t>Versions released</t>
        </is>
      </c>
      <c r="B187" s="4" t="inlineStr">
        <is>
          <t>30+ (v1.0 → v3.60.0)</t>
        </is>
      </c>
    </row>
    <row r="188">
      <c r="A188" s="4" t="inlineStr">
        <is>
          <t>Tests (total)</t>
        </is>
      </c>
      <c r="B188" s="4" t="inlineStr">
        <is>
          <t>2 235</t>
        </is>
      </c>
    </row>
    <row r="189"/>
    <row r="190">
      <c r="A190" s="12" t="inlineStr">
        <is>
          <t>← Dashboard</t>
        </is>
      </c>
      <c r="B190" s="12" t="inlineStr">
        <is>
          <t>← Features &amp; US</t>
        </is>
      </c>
    </row>
    <row r="191"/>
    <row r="192">
      <c r="A192" s="2" t="inlineStr">
        <is>
          <t>DOMAIN SUMMARY</t>
        </is>
      </c>
    </row>
    <row r="193">
      <c r="A193" s="3" t="inlineStr">
        <is>
          <t>Domaine</t>
        </is>
      </c>
      <c r="B193" s="3" t="inlineStr">
        <is>
          <t>Nombre</t>
        </is>
      </c>
    </row>
    <row r="194">
      <c r="A194" s="4" t="inlineStr">
        <is>
          <t>Authentification &amp; Sécurité</t>
        </is>
      </c>
      <c r="B194" s="4">
        <f>COUNTIF(F:F,"Authentification &amp; Sécurité")</f>
        <v/>
      </c>
    </row>
    <row r="195">
      <c r="A195" s="4" t="inlineStr">
        <is>
          <t>Clubs &amp; Gestion des sites</t>
        </is>
      </c>
      <c r="B195" s="4">
        <f>COUNTIF(F:F,"Clubs &amp; Gestion des sites")</f>
        <v/>
      </c>
    </row>
    <row r="196">
      <c r="A196" s="4" t="inlineStr">
        <is>
          <t>Diffusion &amp; Playlists</t>
        </is>
      </c>
      <c r="B196" s="4">
        <f>COUNTIF(F:F,"Diffusion &amp; Playlists")</f>
        <v/>
      </c>
    </row>
    <row r="197">
      <c r="A197" s="4" t="inlineStr">
        <is>
          <t>Content Management</t>
        </is>
      </c>
      <c r="B197" s="4">
        <f>COUNTIF(F:F,"Content Management")</f>
        <v/>
      </c>
    </row>
    <row r="198">
      <c r="A198" s="4" t="inlineStr">
        <is>
          <t>Analytics &amp; Reporting</t>
        </is>
      </c>
      <c r="B198" s="4">
        <f>COUNTIF(F:F,"Analytics &amp; Reporting")</f>
        <v/>
      </c>
    </row>
    <row r="199">
      <c r="A199" s="4" t="inlineStr">
        <is>
          <t>Sponsors &amp; Régie</t>
        </is>
      </c>
      <c r="B199" s="4">
        <f>COUNTIF(F:F,"Sponsors &amp; Régie")</f>
        <v/>
      </c>
    </row>
    <row r="200">
      <c r="A200" s="4" t="inlineStr">
        <is>
          <t>Mobile &amp; Télécommande</t>
        </is>
      </c>
      <c r="B200" s="4">
        <f>COUNTIF(F:F,"Mobile &amp; Télécommande")</f>
        <v/>
      </c>
    </row>
    <row r="201">
      <c r="A201" s="4" t="inlineStr">
        <is>
          <t>Infrastructure &amp; Monitoring</t>
        </is>
      </c>
      <c r="B201" s="4">
        <f>COUNTIF(F:F,"Infrastructure &amp; Monitoring")</f>
        <v/>
      </c>
    </row>
    <row r="202">
      <c r="A202" s="4" t="inlineStr">
        <is>
          <t>Admin &amp; Configuration</t>
        </is>
      </c>
      <c r="B202" s="4">
        <f>COUNTIF(F:F,"Admin &amp; Configuration")</f>
        <v/>
      </c>
    </row>
    <row r="203">
      <c r="A203" s="4" t="inlineStr">
        <is>
          <t>API &amp; Intégrations</t>
        </is>
      </c>
      <c r="B203" s="4">
        <f>COUNTIF(F:F,"API &amp; Intégrations")</f>
        <v/>
      </c>
    </row>
    <row r="204">
      <c r="A204" s="4" t="inlineStr">
        <is>
          <t>Notifications</t>
        </is>
      </c>
      <c r="B204" s="4">
        <f>COUNTIF(F:F,"Notifications")</f>
        <v/>
      </c>
    </row>
    <row r="205">
      <c r="A205" s="4" t="inlineStr">
        <is>
          <t>Performance &amp; Scalabilité</t>
        </is>
      </c>
      <c r="B205" s="4">
        <f>COUNTIF(F:F,"Performance &amp; Scalabilité")</f>
        <v/>
      </c>
    </row>
    <row r="206">
      <c r="A206" s="4" t="inlineStr">
        <is>
          <t>DevOps &amp; Déploiement</t>
        </is>
      </c>
      <c r="B206" s="4">
        <f>COUNTIF(F:F,"DevOps &amp; Déploiement")</f>
        <v/>
      </c>
    </row>
    <row r="207">
      <c r="A207" s="4" t="inlineStr">
        <is>
          <t>TOTAL</t>
        </is>
      </c>
      <c r="B207" s="4">
        <f>SUM(B194:B206)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0" customWidth="1" min="3" max="3"/>
    <col width="12" customWidth="1" min="4" max="4"/>
    <col width="14" customWidth="1" min="5" max="5"/>
    <col width="10" customWidth="1" min="6" max="6"/>
    <col width="10" customWidth="1" min="7" max="7"/>
    <col width="24" customWidth="1" min="8" max="8"/>
  </cols>
  <sheetData>
    <row r="1">
      <c r="A1" s="12" t="inlineStr">
        <is>
          <t>← Dashboard</t>
        </is>
      </c>
      <c r="B1" s="12" t="inlineStr">
        <is>
          <t>← Features &amp; US</t>
        </is>
      </c>
    </row>
    <row r="2"/>
    <row r="3">
      <c r="A3" s="2" t="inlineStr">
        <is>
          <t>USER STORIES BACKLOG</t>
        </is>
      </c>
    </row>
    <row r="4">
      <c r="A4" s="5" t="inlineStr">
        <is>
          <t>US ID</t>
        </is>
      </c>
      <c r="B4" s="5" t="inlineStr">
        <is>
          <t>Feature ID</t>
        </is>
      </c>
      <c r="C4" s="5" t="inlineStr">
        <is>
          <t>Epic ID</t>
        </is>
      </c>
      <c r="D4" s="5" t="inlineStr">
        <is>
          <t>User Story</t>
        </is>
      </c>
      <c r="E4" s="5" t="inlineStr">
        <is>
          <t>Story Points</t>
        </is>
      </c>
      <c r="F4" s="5" t="inlineStr">
        <is>
          <t>Statut</t>
        </is>
      </c>
      <c r="G4" s="5" t="inlineStr">
        <is>
          <t>Sprint</t>
        </is>
      </c>
      <c r="H4" s="5" t="inlineStr">
        <is>
          <t>Critères d'acceptation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</cols>
  <sheetData>
    <row r="1">
      <c r="A1" s="2" t="inlineStr">
        <is>
          <t>Statut</t>
        </is>
      </c>
      <c r="B1" s="2" t="inlineStr">
        <is>
          <t>Epics</t>
        </is>
      </c>
    </row>
    <row r="2">
      <c r="A2" t="inlineStr">
        <is>
          <t>En cours</t>
        </is>
      </c>
      <c r="B2">
        <f>COUNTIF('Epics &amp; LBC'!G:G,"En cours")</f>
        <v/>
      </c>
    </row>
    <row r="3">
      <c r="A3" t="inlineStr">
        <is>
          <t>Terminé</t>
        </is>
      </c>
      <c r="B3">
        <f>COUNTIF('Epics &amp; LBC'!G:G,"Terminé")</f>
        <v/>
      </c>
    </row>
    <row r="4">
      <c r="A4" t="inlineStr">
        <is>
          <t>Backlog</t>
        </is>
      </c>
      <c r="B4">
        <f>COUNTIF('Epics &amp; LBC'!G:G,"Backlog")</f>
        <v/>
      </c>
    </row>
    <row r="5"/>
    <row r="6">
      <c r="A6" s="2" t="inlineStr">
        <is>
          <t>PI</t>
        </is>
      </c>
      <c r="B6" s="2" t="inlineStr">
        <is>
          <t>Story Points</t>
        </is>
      </c>
    </row>
    <row r="7">
      <c r="A7" t="inlineStr">
        <is>
          <t>PI-1</t>
        </is>
      </c>
      <c r="B7">
        <f>SUMIF('Features &amp; US'!I:I,"PI-1*",'Features &amp; US'!E:E)</f>
        <v/>
      </c>
    </row>
    <row r="8">
      <c r="A8" t="inlineStr">
        <is>
          <t>PI-2</t>
        </is>
      </c>
      <c r="B8">
        <f>SUMIF('Features &amp; US'!I:I,"PI-2*",'Features &amp; US'!E:E)</f>
        <v/>
      </c>
    </row>
    <row r="9">
      <c r="A9" t="inlineStr">
        <is>
          <t>PI-3</t>
        </is>
      </c>
      <c r="B9">
        <f>SUMIF('Features &amp; US'!I:I,"PI-3*",'Features &amp; US'!E:E)</f>
        <v/>
      </c>
    </row>
    <row r="10"/>
    <row r="11">
      <c r="A11" s="2" t="inlineStr">
        <is>
          <t>Sprint</t>
        </is>
      </c>
      <c r="B11" s="2" t="inlineStr">
        <is>
          <t>Actual SP</t>
        </is>
      </c>
    </row>
    <row r="12">
      <c r="A12" t="inlineStr">
        <is>
          <t>S1</t>
        </is>
      </c>
      <c r="B12">
        <f>'Sprint Tracker'!D6</f>
        <v/>
      </c>
    </row>
    <row r="13">
      <c r="A13" t="inlineStr">
        <is>
          <t>S2</t>
        </is>
      </c>
      <c r="B13">
        <f>'Sprint Tracker'!D7</f>
        <v/>
      </c>
    </row>
    <row r="14">
      <c r="A14" t="inlineStr">
        <is>
          <t>S3</t>
        </is>
      </c>
      <c r="B14">
        <f>'Sprint Tracker'!D8</f>
        <v/>
      </c>
    </row>
    <row r="15">
      <c r="A15" t="inlineStr">
        <is>
          <t>S4</t>
        </is>
      </c>
      <c r="B15">
        <f>'Sprint Tracker'!D9</f>
        <v/>
      </c>
    </row>
    <row r="16"/>
    <row r="17">
      <c r="A17" s="2" t="inlineStr">
        <is>
          <t>Domaine</t>
        </is>
      </c>
      <c r="B17" s="2" t="inlineStr">
        <is>
          <t>Allocation</t>
        </is>
      </c>
    </row>
    <row r="18">
      <c r="A18" t="inlineStr">
        <is>
          <t>Monétisation</t>
        </is>
      </c>
      <c r="B18" t="n">
        <v>40</v>
      </c>
    </row>
    <row r="19">
      <c r="A19" t="inlineStr">
        <is>
          <t>Exp. Match</t>
        </is>
      </c>
      <c r="B19" t="n">
        <v>25</v>
      </c>
    </row>
    <row r="20">
      <c r="A20" t="inlineStr">
        <is>
          <t>Acquisition</t>
        </is>
      </c>
      <c r="B20" t="n">
        <v>20</v>
      </c>
    </row>
    <row r="21">
      <c r="A21" t="inlineStr">
        <is>
          <t>Excellence Ops</t>
        </is>
      </c>
      <c r="B2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2026-04-20T19:02:39Z</dcterms:created>
  <dcterms:modified xmlns:dcterms="http://purl.org/dc/terms/" xmlns:xsi="http://www.w3.org/2001/XMLSchema-instance" xsi:type="dcterms:W3CDTF">2026-04-20T19:02:39Z</dcterms:modified>
</cp:coreProperties>
</file>