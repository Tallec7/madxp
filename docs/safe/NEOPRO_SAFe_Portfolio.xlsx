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  <sheet name="User Stories" sheetId="12" state="visible" r:id="rId12"/>
    <sheet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2 387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2 387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47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1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2</v>
      </c>
      <c r="G36" s="4" t="inlineStr">
        <is>
          <t>Backlog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E-17</t>
        </is>
      </c>
      <c r="B37" s="4" t="inlineStr">
        <is>
          <t>F-17.1</t>
        </is>
      </c>
      <c r="C37" s="4" t="inlineStr">
        <is>
          <t>Campagnes A/B Test</t>
        </is>
      </c>
      <c r="D37" s="4">
        <f>COUNTIF('User Stories'!B:B,B37)</f>
        <v/>
      </c>
      <c r="E37" s="4">
        <f>SUMIF('User Stories'!B:B,B37,'User Stories'!E:E)</f>
        <v/>
      </c>
      <c r="F37" s="4" t="n">
        <v>2</v>
      </c>
      <c r="G37" s="4" t="inlineStr">
        <is>
          <t>Backlog</t>
        </is>
      </c>
      <c r="H37" s="4" t="inlineStr"/>
      <c r="I37" s="4" t="inlineStr">
        <is>
          <t>PI-2 (Avr-Jun 2025)</t>
        </is>
      </c>
      <c r="J37" s="4" t="inlineStr"/>
    </row>
    <row r="38">
      <c r="A38" s="4" t="inlineStr">
        <is>
          <t>E-18</t>
        </is>
      </c>
      <c r="B38" s="4" t="inlineStr">
        <is>
          <t>F-18.1</t>
        </is>
      </c>
      <c r="C38" s="4" t="inlineStr">
        <is>
          <t>Audience réelle via billetterie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E-19</t>
        </is>
      </c>
      <c r="B39" s="4" t="inlineStr">
        <is>
          <t>F-19.1</t>
        </is>
      </c>
      <c r="C39" s="4" t="inlineStr">
        <is>
          <t>Comptage spectateurs automatique</t>
        </is>
      </c>
      <c r="D39" s="4">
        <f>COUNTIF('User Stories'!B:B,B39)</f>
        <v/>
      </c>
      <c r="E39" s="4">
        <f>SUMIF('User Stories'!B:B,B39,'User Stories'!E:E)</f>
        <v/>
      </c>
      <c r="F39" s="4" t="n">
        <v>3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E-20</t>
        </is>
      </c>
      <c r="B40" s="4" t="inlineStr">
        <is>
          <t>F-20.1</t>
        </is>
      </c>
      <c r="C40" s="4" t="inlineStr">
        <is>
          <t>Prédictions engagement et uptime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E-21</t>
        </is>
      </c>
      <c r="B41" s="4" t="inlineStr">
        <is>
          <t>F-21.1</t>
        </is>
      </c>
      <c r="C41" s="4" t="inlineStr">
        <is>
          <t>API OAuth 2.0 pour partenaires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/>
    <row r="43">
      <c r="A43" s="2" t="inlineStr">
        <is>
          <t>SUMMARY</t>
        </is>
      </c>
    </row>
    <row r="44">
      <c r="A44" s="3" t="inlineStr">
        <is>
          <t>PI</t>
        </is>
      </c>
      <c r="B44" s="3" t="inlineStr">
        <is>
          <t>Features</t>
        </is>
      </c>
      <c r="C44" s="3" t="inlineStr">
        <is>
          <t>Total SP</t>
        </is>
      </c>
      <c r="D44" s="3" t="inlineStr">
        <is>
          <t>Terminé</t>
        </is>
      </c>
      <c r="E44" s="3" t="inlineStr">
        <is>
          <t>Backlog</t>
        </is>
      </c>
    </row>
    <row r="45">
      <c r="A45" s="4" t="inlineStr">
        <is>
          <t>PI-1 (Jan-Mar 2025)</t>
        </is>
      </c>
      <c r="B45" s="4">
        <f>COUNTIF(I6:I29,"PI-1*")</f>
        <v/>
      </c>
      <c r="C45" s="4">
        <f>SUMIF(I6:I29,"PI-1*",E6:E29)</f>
        <v/>
      </c>
      <c r="D45" s="4">
        <f>COUNTIFS(I6:I29,"PI-1*",G6:G29,"Terminé")</f>
        <v/>
      </c>
      <c r="E45" s="4">
        <f>COUNTIFS(I6:I29,"PI-1*",G6:G29,"Backlog")</f>
        <v/>
      </c>
    </row>
    <row r="46">
      <c r="A46" s="4" t="inlineStr">
        <is>
          <t>PI-2 (Avr-Jun 2025)</t>
        </is>
      </c>
      <c r="B46" s="4">
        <f>COUNTIF(I31:I41,"PI-2*")</f>
        <v/>
      </c>
      <c r="C46" s="4">
        <f>SUMIF(I31:I41,"PI-2*",E31:E41)</f>
        <v/>
      </c>
      <c r="D46" s="4">
        <f>COUNTIFS(I31:I41,"PI-2*",G31:G41,"Terminé")</f>
        <v/>
      </c>
      <c r="E46" s="4">
        <f>COUNTIFS(I31:I41,"PI-2*",G31:G41,"Backlog")</f>
        <v/>
      </c>
    </row>
    <row r="47">
      <c r="A47" s="4" t="inlineStr">
        <is>
          <t>PI-3 (Jul-Sep 2025)</t>
        </is>
      </c>
      <c r="B47" s="4" t="n">
        <v>0</v>
      </c>
      <c r="C47" s="4" t="n">
        <v>0</v>
      </c>
      <c r="D47" s="4" t="n">
        <v>0</v>
      </c>
      <c r="E47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2 387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2026-02-20T08:58:48Z</dcterms:created>
  <dcterms:modified xsi:type="dcterms:W3CDTF">2026-02-20T08:58:48Z</dcterms:modified>
</cp:coreProperties>
</file>