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Vision &amp; OKR" sheetId="3" state="visible" r:id="rId3"/>
    <sheet xmlns:r="http://schemas.openxmlformats.org/officeDocument/2006/relationships" name="Value Streams" sheetId="4" state="visible" r:id="rId4"/>
    <sheet xmlns:r="http://schemas.openxmlformats.org/officeDocument/2006/relationships" name="Epics &amp; LBC" sheetId="5" state="visible" r:id="rId5"/>
    <sheet xmlns:r="http://schemas.openxmlformats.org/officeDocument/2006/relationships" name="Features &amp; US" sheetId="6" state="visible" r:id="rId6"/>
    <sheet xmlns:r="http://schemas.openxmlformats.org/officeDocument/2006/relationships" name="PI Objectives" sheetId="7" state="visible" r:id="rId7"/>
    <sheet xmlns:r="http://schemas.openxmlformats.org/officeDocument/2006/relationships" name="Sprint Tracker" sheetId="8" state="visible" r:id="rId8"/>
    <sheet xmlns:r="http://schemas.openxmlformats.org/officeDocument/2006/relationships" name="ROAM" sheetId="9" state="visible" r:id="rId9"/>
    <sheet xmlns:r="http://schemas.openxmlformats.org/officeDocument/2006/relationships" name="Flow Metrics" sheetId="10" state="visible" r:id="rId10"/>
    <sheet xmlns:r="http://schemas.openxmlformats.org/officeDocument/2006/relationships" name="Implemented Backlog" sheetId="11" state="visible" r:id="rId11"/>
    <sheet xmlns:r="http://schemas.openxmlformats.org/officeDocument/2006/relationships" name="User Stories" sheetId="12" state="visible" r:id="rId12"/>
    <sheet xmlns:r="http://schemas.openxmlformats.org/officeDocument/2006/relationships"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50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3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4</v>
      </c>
      <c r="G36" s="4" t="inlineStr">
        <is>
          <t>Hold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E-15</t>
        </is>
      </c>
      <c r="B37" s="4" t="inlineStr">
        <is>
          <t>F-15.2</t>
        </is>
      </c>
      <c r="C37" s="4" t="inlineStr">
        <is>
          <t>Lecture directe table de marque multi-constructeurs (Stramatel, Bodet, OCR)</t>
        </is>
      </c>
      <c r="D37" s="4">
        <f>COUNTIF('User Stories'!B:B,B37)</f>
        <v/>
      </c>
      <c r="E37" s="4">
        <f>SUMIF('User Stories'!B:B,B37,'User Stories'!E:E)</f>
        <v/>
      </c>
      <c r="F37" s="4" t="n">
        <v>1</v>
      </c>
      <c r="G37" s="4" t="inlineStr">
        <is>
          <t>Backlog</t>
        </is>
      </c>
      <c r="H37" s="4" t="inlineStr"/>
      <c r="I37" s="4" t="inlineStr">
        <is>
          <t>PI-2 (Avr-Mai 2026)</t>
        </is>
      </c>
      <c r="J37" s="4" t="inlineStr"/>
    </row>
    <row r="38">
      <c r="A38" s="4" t="inlineStr">
        <is>
          <t>E-17</t>
        </is>
      </c>
      <c r="B38" s="4" t="inlineStr">
        <is>
          <t>F-17.1</t>
        </is>
      </c>
      <c r="C38" s="4" t="inlineStr">
        <is>
          <t>Campagnes A/B Test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E-18</t>
        </is>
      </c>
      <c r="B39" s="4" t="inlineStr">
        <is>
          <t>F-18.1</t>
        </is>
      </c>
      <c r="C39" s="4" t="inlineStr">
        <is>
          <t>Audience réelle via billetterie</t>
        </is>
      </c>
      <c r="D39" s="4">
        <f>COUNTIF('User Stories'!B:B,B39)</f>
        <v/>
      </c>
      <c r="E39" s="4">
        <f>SUMIF('User Stories'!B:B,B39,'User Stories'!E:E)</f>
        <v/>
      </c>
      <c r="F39" s="4" t="n">
        <v>2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E-19</t>
        </is>
      </c>
      <c r="B40" s="4" t="inlineStr">
        <is>
          <t>F-19.1</t>
        </is>
      </c>
      <c r="C40" s="4" t="inlineStr">
        <is>
          <t>Comptage spectateurs automatique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E-20</t>
        </is>
      </c>
      <c r="B41" s="4" t="inlineStr">
        <is>
          <t>F-20.1</t>
        </is>
      </c>
      <c r="C41" s="4" t="inlineStr">
        <is>
          <t>Prédictions engagement et uptime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E-21</t>
        </is>
      </c>
      <c r="B42" s="4" t="inlineStr">
        <is>
          <t>F-21.1</t>
        </is>
      </c>
      <c r="C42" s="4" t="inlineStr">
        <is>
          <t>API OAuth 2.0 pour partenaires</t>
        </is>
      </c>
      <c r="D42" s="4">
        <f>COUNTIF('User Stories'!B:B,B42)</f>
        <v/>
      </c>
      <c r="E42" s="4">
        <f>SUMIF('User Stories'!B:B,B42,'User Stories'!E:E)</f>
        <v/>
      </c>
      <c r="F42" s="4" t="n">
        <v>3</v>
      </c>
      <c r="G42" s="4" t="inlineStr">
        <is>
          <t>Backlog</t>
        </is>
      </c>
      <c r="H42" s="4" t="inlineStr"/>
      <c r="I42" s="4" t="inlineStr">
        <is>
          <t>PI-2 (Avr-Jun 2025)</t>
        </is>
      </c>
      <c r="J42" s="4" t="inlineStr"/>
    </row>
    <row r="43">
      <c r="A43" s="4" t="inlineStr">
        <is>
          <t>E-21</t>
        </is>
      </c>
      <c r="B43" s="4" t="inlineStr">
        <is>
          <t>F-21.2</t>
        </is>
      </c>
      <c r="C43" s="4" t="inlineStr">
        <is>
          <t>API publique Neopro Live Scores (REST + WebSocket + Webhooks)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PI-3 (Juin-Juil 2026)</t>
        </is>
      </c>
      <c r="J43" s="4" t="inlineStr"/>
    </row>
    <row r="44">
      <c r="A44" s="4" t="inlineStr">
        <is>
          <t>E-22</t>
        </is>
      </c>
      <c r="B44" s="4" t="inlineStr">
        <is>
          <t>F-22.0</t>
        </is>
      </c>
      <c r="C44" s="4" t="inlineStr">
        <is>
          <t>Enabler — Validation hardware dual HDMI (spike)</t>
        </is>
      </c>
      <c r="D44" s="4">
        <f>COUNTIF('User Stories'!B:B,B44)</f>
        <v/>
      </c>
      <c r="E44" s="4">
        <f>SUMIF('User Stories'!B:B,B44,'User Stories'!E:E)</f>
        <v/>
      </c>
      <c r="F44" s="4" t="n">
        <v>1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F-22.1</t>
        </is>
      </c>
      <c r="C45" s="4" t="inlineStr">
        <is>
          <t>Dual Kiosk HDMI natif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>
      <c r="A46" s="4" t="inlineStr">
        <is>
          <t>E-22</t>
        </is>
      </c>
      <c r="B46" s="4" t="inlineStr">
        <is>
          <t>F-22.2</t>
        </is>
      </c>
      <c r="C46" s="4" t="inlineStr">
        <is>
          <t>Réactions différenciées TV vs LED</t>
        </is>
      </c>
      <c r="D46" s="4">
        <f>COUNTIF('User Stories'!B:B,B46)</f>
        <v/>
      </c>
      <c r="E46" s="4">
        <f>SUMIF('User Stories'!B:B,B46,'User Stories'!E:E)</f>
        <v/>
      </c>
      <c r="F46" s="4" t="n">
        <v>2</v>
      </c>
      <c r="G46" s="4" t="inlineStr">
        <is>
          <t>Backlog</t>
        </is>
      </c>
      <c r="H46" s="4" t="inlineStr"/>
      <c r="I46" s="4" t="inlineStr">
        <is>
          <t>PI-2 (Avr-Jun 2026)</t>
        </is>
      </c>
      <c r="J46" s="4" t="inlineStr"/>
    </row>
    <row r="47">
      <c r="A47" s="4" t="inlineStr">
        <is>
          <t>E-22</t>
        </is>
      </c>
      <c r="B47" s="4" t="inlineStr">
        <is>
          <t>F-22.3</t>
        </is>
      </c>
      <c r="C47" s="4" t="inlineStr">
        <is>
          <t>Variantes vidéo par type d'écran</t>
        </is>
      </c>
      <c r="D47" s="4">
        <f>COUNTIF('User Stories'!B:B,B47)</f>
        <v/>
      </c>
      <c r="E47" s="4">
        <f>SUMIF('User Stories'!B:B,B47,'User Stories'!E:E)</f>
        <v/>
      </c>
      <c r="F47" s="4" t="n">
        <v>2</v>
      </c>
      <c r="G47" s="4" t="inlineStr">
        <is>
          <t>Backlog</t>
        </is>
      </c>
      <c r="H47" s="4" t="inlineStr"/>
      <c r="I47" s="4" t="inlineStr">
        <is>
          <t>PI-2 (Avr-Jun 2026)</t>
        </is>
      </c>
      <c r="J47" s="4" t="inlineStr"/>
    </row>
    <row r="48"/>
    <row r="49">
      <c r="A49" s="2" t="inlineStr">
        <is>
          <t>SUMMARY</t>
        </is>
      </c>
    </row>
    <row r="50">
      <c r="A50" s="3" t="inlineStr">
        <is>
          <t>PI</t>
        </is>
      </c>
      <c r="B50" s="3" t="inlineStr">
        <is>
          <t>Features</t>
        </is>
      </c>
      <c r="C50" s="3" t="inlineStr">
        <is>
          <t>Total SP</t>
        </is>
      </c>
      <c r="D50" s="3" t="inlineStr">
        <is>
          <t>Terminé</t>
        </is>
      </c>
      <c r="E50" s="3" t="inlineStr">
        <is>
          <t>Backlog</t>
        </is>
      </c>
    </row>
    <row r="51">
      <c r="A51" s="4" t="inlineStr">
        <is>
          <t>PI-1 (Jan-Mar 2025)</t>
        </is>
      </c>
      <c r="B51" s="4">
        <f>COUNTIF(I6:I29,"PI-1*")</f>
        <v/>
      </c>
      <c r="C51" s="4">
        <f>SUMIF(I6:I29,"PI-1*",E6:E29)</f>
        <v/>
      </c>
      <c r="D51" s="4">
        <f>COUNTIFS(I6:I29,"PI-1*",G6:G29,"Terminé")</f>
        <v/>
      </c>
      <c r="E51" s="4">
        <f>COUNTIFS(I6:I29,"PI-1*",G6:G29,"Backlog")</f>
        <v/>
      </c>
    </row>
    <row r="52">
      <c r="A52" s="4" t="inlineStr">
        <is>
          <t>PI-2 (Avr-Jun 2025)</t>
        </is>
      </c>
      <c r="B52" s="4">
        <f>COUNTIF(I31:I47,"PI-2*")</f>
        <v/>
      </c>
      <c r="C52" s="4">
        <f>SUMIF(I31:I47,"PI-2*",E31:E47)</f>
        <v/>
      </c>
      <c r="D52" s="4">
        <f>COUNTIFS(I31:I47,"PI-2*",G31:G47,"Terminé")</f>
        <v/>
      </c>
      <c r="E52" s="4">
        <f>COUNTIFS(I31:I47,"PI-2*",G31:G47,"Backlog")</f>
        <v/>
      </c>
    </row>
    <row r="53">
      <c r="A53" s="4" t="inlineStr">
        <is>
          <t>PI-3 (Jul-Sep 2025)</t>
        </is>
      </c>
      <c r="B53" s="4" t="n">
        <v>0</v>
      </c>
      <c r="C53" s="4" t="n">
        <v>0</v>
      </c>
      <c r="D53" s="4" t="n">
        <v>0</v>
      </c>
      <c r="E53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2026-04-20T10:01:56Z</dcterms:created>
  <dcterms:modified xmlns:dcterms="http://purl.org/dc/terms/" xmlns:xsi="http://www.w3.org/2001/XMLSchema-instance" xsi:type="dcterms:W3CDTF">2026-04-20T10:01:56Z</dcterms:modified>
</cp:coreProperties>
</file>