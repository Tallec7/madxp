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F5F5F5"/>
        <bgColor rgb="00F5F5F5"/>
      </patternFill>
    </fill>
    <fill>
      <patternFill patternType="solid">
        <fgColor rgb="00E1BEE7"/>
        <bgColor rgb="00E1BE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6" borderId="1" applyAlignment="1" pivotButton="0" quotePrefix="0" xfId="0">
      <alignment vertical="center" wrapText="1"/>
    </xf>
    <xf numFmtId="0" fontId="0" fillId="2" borderId="1" pivotButton="0" quotePrefix="0" xfId="0"/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17" customWidth="1" min="5" max="5"/>
    <col width="39" customWidth="1" min="6" max="6"/>
    <col width="14" customWidth="1" min="7" max="7"/>
  </cols>
  <sheetData>
    <row r="1">
      <c r="A1" s="1" t="inlineStr">
        <is>
          <t>NEOPRO SAFe Portfolio Dashboard</t>
        </is>
      </c>
    </row>
    <row r="2"/>
    <row r="3">
      <c r="A3">
        <f>COUNTA('Epics &amp; LBC'!A4:A24)-COUNTBLANK('Epics &amp; LBC'!A4:A24)</f>
        <v/>
      </c>
      <c r="B3" t="inlineStr">
        <is>
          <t>Epics</t>
        </is>
      </c>
      <c r="C3">
        <f>COUNTA('Features &amp; US'!B4:B55)-COUNTBLANK('Features &amp; US'!B4:B55)</f>
        <v/>
      </c>
      <c r="D3" t="inlineStr">
        <is>
          <t>Features</t>
        </is>
      </c>
      <c r="E3" s="2" t="inlineStr">
        <is>
          <t>40 User Stories</t>
        </is>
      </c>
      <c r="G3" s="2" t="inlineStr">
        <is>
          <t>262 SP total</t>
        </is>
      </c>
    </row>
    <row r="4">
      <c r="A4" s="2">
        <f>COUNTIF('Epics &amp; LBC'!G:G,"✅ Done")</f>
        <v/>
      </c>
      <c r="B4" t="inlineStr">
        <is>
          <t>Done</t>
        </is>
      </c>
      <c r="C4" s="2" t="inlineStr">
        <is>
          <t>79 SP PI-1</t>
        </is>
      </c>
      <c r="E4" s="2" t="inlineStr">
        <is>
          <t>69 SP PI-2</t>
        </is>
      </c>
      <c r="G4" s="2" t="inlineStr">
        <is>
          <t>73 SP PI-3</t>
        </is>
      </c>
    </row>
    <row r="5"/>
    <row r="6">
      <c r="A6" t="inlineStr">
        <is>
          <t>KEY PERFORMANCE INDICATORS</t>
        </is>
      </c>
      <c r="F6" s="2" t="inlineStr">
        <is>
          <t>Flow Distribution</t>
        </is>
      </c>
    </row>
    <row r="7"/>
    <row r="8">
      <c r="A8" t="inlineStr">
        <is>
          <t>Epics Metrics</t>
        </is>
      </c>
      <c r="F8" t="inlineStr">
        <is>
          <t>Domain</t>
        </is>
      </c>
      <c r="G8" t="inlineStr">
        <is>
          <t>Percentage</t>
        </is>
      </c>
    </row>
    <row r="9">
      <c r="A9" t="inlineStr">
        <is>
          <t>En cours</t>
        </is>
      </c>
      <c r="B9">
        <f>COUNTIF('Epics &amp; LBC'!G:G,"En cours")</f>
        <v/>
      </c>
      <c r="C9" t="inlineStr">
        <is>
          <t>Terminé</t>
        </is>
      </c>
      <c r="D9">
        <f>COUNTIF('Epics &amp; LBC'!G:G,"Terminé")</f>
        <v/>
      </c>
      <c r="E9" t="inlineStr">
        <is>
          <t>Backlog</t>
        </is>
      </c>
      <c r="F9">
        <f>COUNTIF('Epics &amp; LBC'!G:G,"Backlog")</f>
        <v/>
      </c>
      <c r="G9" t="n">
        <v>40</v>
      </c>
    </row>
    <row r="10">
      <c r="F10" t="inlineStr">
        <is>
          <t>Expérience Match</t>
        </is>
      </c>
      <c r="G10" t="n">
        <v>25</v>
      </c>
    </row>
    <row r="11">
      <c r="F11" t="inlineStr">
        <is>
          <t>Acquisition</t>
        </is>
      </c>
      <c r="G11" t="n">
        <v>20</v>
      </c>
    </row>
    <row r="12">
      <c r="F12" t="inlineStr">
        <is>
          <t>Excellence Ops</t>
        </is>
      </c>
      <c r="G12" t="n">
        <v>15</v>
      </c>
    </row>
    <row r="13">
      <c r="A13" t="inlineStr">
        <is>
          <t>Risk Metrics (ROAM)</t>
        </is>
      </c>
    </row>
    <row r="14">
      <c r="A14" t="inlineStr">
        <is>
          <t>Open Risks</t>
        </is>
      </c>
      <c r="B14">
        <f>COUNTIF(ROAM!C:C,"Owned")+COUNTIF(ROAM!C:C,"Accepted")</f>
        <v/>
      </c>
      <c r="C14" t="inlineStr">
        <is>
          <t>Resolved</t>
        </is>
      </c>
      <c r="D14">
        <f>COUNTIF(ROAM!C:C,"Resolved")+COUNTIF(ROAM!C:C,"Mitigated")</f>
        <v/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2" t="inlineStr">
        <is>
          <t>Roadmap Summary</t>
        </is>
      </c>
    </row>
    <row r="36"/>
    <row r="37">
      <c r="A37" s="3" t="inlineStr">
        <is>
          <t>PI</t>
        </is>
      </c>
      <c r="B37" s="3" t="inlineStr">
        <is>
          <t>Period</t>
        </is>
      </c>
      <c r="C37" s="3" t="inlineStr">
        <is>
          <t>Key Initiatives</t>
        </is>
      </c>
    </row>
    <row r="38">
      <c r="A38" t="inlineStr">
        <is>
          <t>PI-1</t>
        </is>
      </c>
      <c r="B38" t="inlineStr">
        <is>
          <t>Feb-Mar</t>
        </is>
      </c>
      <c r="C38" t="inlineStr">
        <is>
          <t>Sponsors + Analytics + Onboarding</t>
        </is>
      </c>
    </row>
    <row r="39">
      <c r="A39" t="inlineStr">
        <is>
          <t>PI-2</t>
        </is>
      </c>
      <c r="B39" t="inlineStr">
        <is>
          <t>Apr-May</t>
        </is>
      </c>
      <c r="C39" t="inlineStr">
        <is>
          <t>Régie + Motion + Email + Score</t>
        </is>
      </c>
    </row>
    <row r="40">
      <c r="A40" t="inlineStr">
        <is>
          <t>PI-3</t>
        </is>
      </c>
      <c r="B40" t="inlineStr">
        <is>
          <t>Jun-Jul</t>
        </is>
      </c>
      <c r="C40" t="inlineStr">
        <is>
          <t>Multi-écrans + Marque + Billetterie + ML + OAuth</t>
        </is>
      </c>
    </row>
    <row r="41"/>
    <row r="42">
      <c r="A42" s="2" t="inlineStr">
        <is>
          <t>Navigation rapide :</t>
        </is>
      </c>
      <c r="B42" t="inlineStr">
        <is>
          <t>Vision &amp; OKR</t>
        </is>
      </c>
      <c r="C42" t="inlineStr">
        <is>
          <t>Value Streams</t>
        </is>
      </c>
      <c r="D42" t="inlineStr">
        <is>
          <t>Epics &amp; LBC</t>
        </is>
      </c>
      <c r="E42" t="inlineStr">
        <is>
          <t>Features &amp; US</t>
        </is>
      </c>
      <c r="F42" t="inlineStr">
        <is>
          <t>Implemented Backlog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4" t="inlineStr">
        <is>
          <t>Terme</t>
        </is>
      </c>
      <c r="B2" s="4" t="inlineStr">
        <is>
          <t>Définition</t>
        </is>
      </c>
    </row>
    <row r="3">
      <c r="A3" s="5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5" t="inlineStr">
        <is>
          <t>Feature</t>
        </is>
      </c>
      <c r="B4" s="6" t="inlineStr">
        <is>
          <t>Bloc fonctionnel apportant valeur, découpé en User Stories</t>
        </is>
      </c>
    </row>
    <row r="5">
      <c r="A5" s="5" t="inlineStr">
        <is>
          <t>User Story</t>
        </is>
      </c>
      <c r="B5" s="6" t="inlineStr">
        <is>
          <t>Récit utilisateur livrable en 1-2 sprints (taille ~5 SP)</t>
        </is>
      </c>
    </row>
    <row r="6">
      <c r="A6" s="5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5" t="inlineStr">
        <is>
          <t>Sprint</t>
        </is>
      </c>
      <c r="B7" s="6" t="inlineStr">
        <is>
          <t>Itération 2 semaines de travail continu</t>
        </is>
      </c>
    </row>
    <row r="8">
      <c r="A8" s="5" t="inlineStr">
        <is>
          <t>PI (Program Increment)</t>
        </is>
      </c>
      <c r="B8" s="6" t="inlineStr">
        <is>
          <t>Cadence 6 semaines = 3 sprints alignés</t>
        </is>
      </c>
    </row>
    <row r="9">
      <c r="A9" s="5" t="inlineStr">
        <is>
          <t>Value Stream</t>
        </is>
      </c>
      <c r="B9" s="6" t="inlineStr">
        <is>
          <t>Flux continu de création de valeur (OVS ou DVS)</t>
        </is>
      </c>
    </row>
    <row r="10">
      <c r="A10" s="5" t="inlineStr">
        <is>
          <t>WSJF</t>
        </is>
      </c>
      <c r="B10" s="6" t="inlineStr">
        <is>
          <t>Priorisation: (User-Biz-Time-RR) / Job Size</t>
        </is>
      </c>
    </row>
    <row r="11">
      <c r="A11" s="5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5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5" t="inlineStr">
        <is>
          <t>Critères d'acceptation</t>
        </is>
      </c>
      <c r="B13" s="6" t="inlineStr">
        <is>
          <t>Conditions pour que la US soit 'Done'</t>
        </is>
      </c>
    </row>
    <row r="14">
      <c r="A14" s="5" t="inlineStr">
        <is>
          <t>Backlog</t>
        </is>
      </c>
      <c r="B14" s="6" t="inlineStr">
        <is>
          <t>Pile ordonnée de Features/US prêtes ou futures</t>
        </is>
      </c>
    </row>
    <row r="15">
      <c r="A15" s="5" t="inlineStr">
        <is>
          <t>Velocity</t>
        </is>
      </c>
      <c r="B15" s="6" t="inlineStr">
        <is>
          <t>SP livrés en moyenne par sprint (mesure de cadence)</t>
        </is>
      </c>
    </row>
    <row r="16">
      <c r="A16" s="5" t="inlineStr">
        <is>
          <t>Carry-over</t>
        </is>
      </c>
      <c r="B16" s="6" t="inlineStr">
        <is>
          <t>US commencée mais non finie avant fin de sprint</t>
        </is>
      </c>
    </row>
    <row r="17">
      <c r="A17" s="5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5" t="inlineStr">
        <is>
          <t>Predictability</t>
        </is>
      </c>
      <c r="B18" s="6" t="inlineStr">
        <is>
          <t>% d'objectives commis atteints dans le PI</t>
        </is>
      </c>
    </row>
    <row r="19">
      <c r="A19" s="5" t="inlineStr">
        <is>
          <t>ROAM</t>
        </is>
      </c>
      <c r="B19" s="6" t="inlineStr">
        <is>
          <t>Risk log: Resolved, Owned, Accepted, Mitigated</t>
        </is>
      </c>
    </row>
    <row r="20">
      <c r="A20" s="5" t="inlineStr">
        <is>
          <t>Flow Metrics</t>
        </is>
      </c>
      <c r="B20" s="6" t="inlineStr">
        <is>
          <t>WIP, Throughput, Cycle Time pour chaque Value Stream</t>
        </is>
      </c>
    </row>
    <row r="21">
      <c r="A21" s="5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5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5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5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5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43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la plateforme TV interactive de référence pour les clubs sportifs amateurs en France.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5" t="inlineStr">
        <is>
          <t>TS-1</t>
        </is>
      </c>
      <c r="B9" s="5" t="inlineStr">
        <is>
          <t>Monétisation Sponsors</t>
        </is>
      </c>
      <c r="C9" s="5" t="inlineStr">
        <is>
          <t>Maximiser les revenus sponsors</t>
        </is>
      </c>
      <c r="D9" s="5" t="inlineStr">
        <is>
          <t>OVS-2</t>
        </is>
      </c>
      <c r="E9" s="5" t="inlineStr">
        <is>
          <t>PI-1 → PI-3</t>
        </is>
      </c>
      <c r="F9" s="5" t="inlineStr">
        <is>
          <t>35%</t>
        </is>
      </c>
    </row>
    <row r="10">
      <c r="A10" s="5" t="inlineStr">
        <is>
          <t>TS-2</t>
        </is>
      </c>
      <c r="B10" s="5" t="inlineStr">
        <is>
          <t>Expérience Match Live</t>
        </is>
      </c>
      <c r="C10" s="5" t="inlineStr">
        <is>
          <t>Offrir la meilleure expérience match jour</t>
        </is>
      </c>
      <c r="D10" s="5" t="inlineStr">
        <is>
          <t>OVS-1</t>
        </is>
      </c>
      <c r="E10" s="5" t="inlineStr">
        <is>
          <t>PI-1 → PI-2</t>
        </is>
      </c>
      <c r="F10" s="5" t="inlineStr">
        <is>
          <t>25%</t>
        </is>
      </c>
    </row>
    <row r="11">
      <c r="A11" s="5" t="inlineStr">
        <is>
          <t>TS-3</t>
        </is>
      </c>
      <c r="B11" s="5" t="inlineStr">
        <is>
          <t>Acquisition &amp; Croissance</t>
        </is>
      </c>
      <c r="C11" s="5" t="inlineStr">
        <is>
          <t>Accélérer l'onboarding clubs</t>
        </is>
      </c>
      <c r="D11" s="5" t="inlineStr">
        <is>
          <t>OVS-1 + OVS-2</t>
        </is>
      </c>
      <c r="E11" s="5" t="inlineStr">
        <is>
          <t>PI-2 → PI-3</t>
        </is>
      </c>
      <c r="F11" s="5" t="inlineStr">
        <is>
          <t>20%</t>
        </is>
      </c>
    </row>
    <row r="12">
      <c r="A12" s="5" t="inlineStr">
        <is>
          <t>TS-4</t>
        </is>
      </c>
      <c r="B12" s="5" t="inlineStr">
        <is>
          <t>Excellence Opérationnelle</t>
        </is>
      </c>
      <c r="C12" s="5" t="inlineStr">
        <is>
          <t>Garantir 99.5% uptime, &lt;2h MTTR</t>
        </is>
      </c>
      <c r="D12" s="5" t="inlineStr">
        <is>
          <t>DVS-1</t>
        </is>
      </c>
      <c r="E12" s="5" t="inlineStr">
        <is>
          <t>Continu</t>
        </is>
      </c>
      <c r="F12" s="5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4" t="inlineStr">
        <is>
          <t>Obj #</t>
        </is>
      </c>
      <c r="B15" s="4" t="inlineStr">
        <is>
          <t>Objectif</t>
        </is>
      </c>
      <c r="C15" s="4" t="inlineStr">
        <is>
          <t>KR #</t>
        </is>
      </c>
      <c r="D15" s="4" t="inlineStr">
        <is>
          <t>Key Result</t>
        </is>
      </c>
      <c r="E15" s="4" t="inlineStr">
        <is>
          <t>Thème</t>
        </is>
      </c>
      <c r="F15" s="4" t="inlineStr">
        <is>
          <t>Target</t>
        </is>
      </c>
    </row>
    <row r="16">
      <c r="A16" s="5" t="inlineStr">
        <is>
          <t>O1</t>
        </is>
      </c>
      <c r="B16" s="5" t="inlineStr">
        <is>
          <t>Atteindre 100K€ ARR sponsor</t>
        </is>
      </c>
      <c r="C16" s="5" t="inlineStr">
        <is>
          <t>1.1</t>
        </is>
      </c>
      <c r="D16" s="5" t="inlineStr">
        <is>
          <t>Activer 50+ annonceurs payants</t>
        </is>
      </c>
      <c r="E16" s="5" t="inlineStr">
        <is>
          <t>TS-1</t>
        </is>
      </c>
      <c r="F16" s="5" t="inlineStr">
        <is>
          <t>Déc 2026</t>
        </is>
      </c>
    </row>
    <row r="17">
      <c r="A17" s="5" t="inlineStr"/>
      <c r="B17" s="5" t="inlineStr"/>
      <c r="C17" s="5" t="inlineStr">
        <is>
          <t>1.2</t>
        </is>
      </c>
      <c r="D17" s="5" t="inlineStr">
        <is>
          <t>ARPU sponsor &gt;200€/mois</t>
        </is>
      </c>
      <c r="E17" s="5" t="inlineStr">
        <is>
          <t>TS-1</t>
        </is>
      </c>
      <c r="F17" s="5" t="inlineStr">
        <is>
          <t>Q3 2026</t>
        </is>
      </c>
    </row>
    <row r="18">
      <c r="A18" s="5" t="inlineStr"/>
      <c r="B18" s="5" t="inlineStr"/>
      <c r="C18" s="5" t="inlineStr">
        <is>
          <t>1.3</t>
        </is>
      </c>
      <c r="D18" s="5" t="inlineStr">
        <is>
          <t>Proof of broadcast certifié sur 100% des impressions</t>
        </is>
      </c>
      <c r="E18" s="5" t="inlineStr">
        <is>
          <t>TS-1</t>
        </is>
      </c>
      <c r="F18" s="5" t="inlineStr">
        <is>
          <t>Q2 2026</t>
        </is>
      </c>
    </row>
    <row r="19">
      <c r="A19" s="5" t="inlineStr">
        <is>
          <t>O2</t>
        </is>
      </c>
      <c r="B19" s="5" t="inlineStr">
        <is>
          <t>Engager 100 clubs actifs</t>
        </is>
      </c>
      <c r="C19" s="5" t="inlineStr">
        <is>
          <t>2.1</t>
        </is>
      </c>
      <c r="D19" s="5" t="inlineStr">
        <is>
          <t>Onboarder 25 clubs en Q1-Q2</t>
        </is>
      </c>
      <c r="E19" s="5" t="inlineStr">
        <is>
          <t>TS-3</t>
        </is>
      </c>
      <c r="F19" s="5" t="inlineStr">
        <is>
          <t>Juin 2026</t>
        </is>
      </c>
    </row>
    <row r="20">
      <c r="A20" s="5" t="inlineStr"/>
      <c r="B20" s="5" t="inlineStr"/>
      <c r="C20" s="5" t="inlineStr">
        <is>
          <t>2.2</t>
        </is>
      </c>
      <c r="D20" s="5" t="inlineStr">
        <is>
          <t>Taux d'activation &gt;80%</t>
        </is>
      </c>
      <c r="E20" s="5" t="inlineStr">
        <is>
          <t>TS-3</t>
        </is>
      </c>
      <c r="F20" s="5" t="inlineStr">
        <is>
          <t>Continu</t>
        </is>
      </c>
    </row>
    <row r="21">
      <c r="A21" s="5" t="inlineStr"/>
      <c r="B21" s="5" t="inlineStr"/>
      <c r="C21" s="5" t="inlineStr">
        <is>
          <t>2.3</t>
        </is>
      </c>
      <c r="D21" s="5" t="inlineStr">
        <is>
          <t>NPS club ≥ 8/10</t>
        </is>
      </c>
      <c r="E21" s="5" t="inlineStr">
        <is>
          <t>TS-2</t>
        </is>
      </c>
      <c r="F21" s="5" t="inlineStr">
        <is>
          <t>Q4 2026</t>
        </is>
      </c>
    </row>
    <row r="22">
      <c r="A22" s="5" t="inlineStr"/>
      <c r="B22" s="5" t="inlineStr"/>
      <c r="C22" s="5" t="inlineStr">
        <is>
          <t>2.4</t>
        </is>
      </c>
      <c r="D22" s="5" t="inlineStr">
        <is>
          <t>Churn &lt;5% annuel</t>
        </is>
      </c>
      <c r="E22" s="5" t="inlineStr">
        <is>
          <t>TS-3</t>
        </is>
      </c>
      <c r="F22" s="5" t="inlineStr">
        <is>
          <t>Déc 2026</t>
        </is>
      </c>
    </row>
    <row r="23">
      <c r="A23" s="5" t="inlineStr">
        <is>
          <t>O3</t>
        </is>
      </c>
      <c r="B23" s="5" t="inlineStr">
        <is>
          <t>Excellence match day</t>
        </is>
      </c>
      <c r="C23" s="5" t="inlineStr">
        <is>
          <t>3.1</t>
        </is>
      </c>
      <c r="D23" s="5" t="inlineStr">
        <is>
          <t>6 sports supportés en overlay (fait)</t>
        </is>
      </c>
      <c r="E23" s="5" t="inlineStr">
        <is>
          <t>TS-2</t>
        </is>
      </c>
      <c r="F23" s="5" t="inlineStr">
        <is>
          <t>✅ Done</t>
        </is>
      </c>
    </row>
    <row r="24">
      <c r="A24" s="5" t="inlineStr"/>
      <c r="B24" s="5" t="inlineStr"/>
      <c r="C24" s="5" t="inlineStr">
        <is>
          <t>3.2</t>
        </is>
      </c>
      <c r="D24" s="5" t="inlineStr">
        <is>
          <t>Latence télécommande &lt; 200ms (local) / &lt;2s (cloud)</t>
        </is>
      </c>
      <c r="E24" s="5" t="inlineStr">
        <is>
          <t>TS-2</t>
        </is>
      </c>
      <c r="F24" s="5" t="inlineStr">
        <is>
          <t>Q1 2026</t>
        </is>
      </c>
    </row>
    <row r="25">
      <c r="A25" s="5" t="inlineStr"/>
      <c r="B25" s="5" t="inlineStr"/>
      <c r="C25" s="5" t="inlineStr">
        <is>
          <t>3.3</t>
        </is>
      </c>
      <c r="D25" s="5" t="inlineStr">
        <is>
          <t>Score CSAT bénévole &gt; 4.5/5</t>
        </is>
      </c>
      <c r="E25" s="5" t="inlineStr">
        <is>
          <t>TS-2</t>
        </is>
      </c>
      <c r="F25" s="5" t="inlineStr">
        <is>
          <t>Q3 2026</t>
        </is>
      </c>
    </row>
    <row r="26">
      <c r="A26" s="5" t="inlineStr">
        <is>
          <t>O4</t>
        </is>
      </c>
      <c r="B26" s="5" t="inlineStr">
        <is>
          <t>Infrastructure fiable</t>
        </is>
      </c>
      <c r="C26" s="5" t="inlineStr">
        <is>
          <t>4.1</t>
        </is>
      </c>
      <c r="D26" s="5" t="inlineStr">
        <is>
          <t>Uptime API 99.5%</t>
        </is>
      </c>
      <c r="E26" s="5" t="inlineStr">
        <is>
          <t>TS-4</t>
        </is>
      </c>
      <c r="F26" s="5" t="inlineStr">
        <is>
          <t>Continu</t>
        </is>
      </c>
    </row>
    <row r="27">
      <c r="A27" s="5" t="inlineStr"/>
      <c r="B27" s="5" t="inlineStr"/>
      <c r="C27" s="5" t="inlineStr">
        <is>
          <t>4.2</t>
        </is>
      </c>
      <c r="D27" s="5" t="inlineStr">
        <is>
          <t>MTTR incident &lt; 2h</t>
        </is>
      </c>
      <c r="E27" s="5" t="inlineStr">
        <is>
          <t>TS-4</t>
        </is>
      </c>
      <c r="F27" s="5" t="inlineStr">
        <is>
          <t>Continu</t>
        </is>
      </c>
    </row>
    <row r="28">
      <c r="A28" s="5" t="inlineStr"/>
      <c r="B28" s="5" t="inlineStr"/>
      <c r="C28" s="5" t="inlineStr">
        <is>
          <t>4.3</t>
        </is>
      </c>
      <c r="D28" s="5" t="inlineStr">
        <is>
          <t>0 perte de données vidéo/config</t>
        </is>
      </c>
      <c r="E28" s="5" t="inlineStr">
        <is>
          <t>TS-4</t>
        </is>
      </c>
      <c r="F28" s="5" t="inlineStr">
        <is>
          <t>Continu</t>
        </is>
      </c>
    </row>
    <row r="29">
      <c r="A29" s="5" t="inlineStr"/>
      <c r="B29" s="5" t="inlineStr"/>
      <c r="C29" s="5" t="inlineStr">
        <is>
          <t>4.4</t>
        </is>
      </c>
      <c r="D29" s="5" t="inlineStr">
        <is>
          <t>OTA success rate &gt; 95%</t>
        </is>
      </c>
      <c r="E29" s="5" t="inlineStr">
        <is>
          <t>TS-4</t>
        </is>
      </c>
      <c r="F29" s="5" t="inlineStr">
        <is>
          <t>Q2 2026</t>
        </is>
      </c>
    </row>
    <row r="30">
      <c r="A30" s="5" t="inlineStr">
        <is>
          <t>O5</t>
        </is>
      </c>
      <c r="B30" s="5" t="inlineStr">
        <is>
          <t>Scalabilité tech</t>
        </is>
      </c>
      <c r="C30" s="5" t="inlineStr">
        <is>
          <t>5.1</t>
        </is>
      </c>
      <c r="D30" s="5" t="inlineStr">
        <is>
          <t>API partenaires &lt; 100ms p95</t>
        </is>
      </c>
      <c r="E30" s="5" t="inlineStr">
        <is>
          <t>TS-3</t>
        </is>
      </c>
      <c r="F30" s="5" t="inlineStr">
        <is>
          <t>Q4 2026</t>
        </is>
      </c>
    </row>
    <row r="31">
      <c r="A31" s="5" t="inlineStr"/>
      <c r="B31" s="5" t="inlineStr"/>
      <c r="C31" s="5" t="inlineStr">
        <is>
          <t>5.2</t>
        </is>
      </c>
      <c r="D31" s="5" t="inlineStr">
        <is>
          <t>Tests coverage &gt; 75%</t>
        </is>
      </c>
      <c r="E31" s="5" t="inlineStr">
        <is>
          <t>TS-4</t>
        </is>
      </c>
      <c r="F31" s="5" t="inlineStr">
        <is>
          <t>Q3 2026</t>
        </is>
      </c>
    </row>
    <row r="32">
      <c r="A32" s="5" t="inlineStr"/>
      <c r="B32" s="5" t="inlineStr"/>
      <c r="C32" s="5" t="inlineStr">
        <is>
          <t>5.3</t>
        </is>
      </c>
      <c r="D32" s="5" t="inlineStr">
        <is>
          <t>Pipeline CI &lt; 5min</t>
        </is>
      </c>
      <c r="E32" s="5" t="inlineStr">
        <is>
          <t>TS-4</t>
        </is>
      </c>
      <c r="F32" s="5" t="inlineStr">
        <is>
          <t>Q2 2026</t>
        </is>
      </c>
    </row>
    <row r="33"/>
    <row r="34">
      <c r="A34" s="2" t="inlineStr">
        <is>
          <t>KPI Actuels (Fév 2026)</t>
        </is>
      </c>
    </row>
    <row r="35">
      <c r="A35" s="8" t="inlineStr">
        <is>
          <t>KPI</t>
        </is>
      </c>
      <c r="B35" s="8" t="inlineStr">
        <is>
          <t>Valeur actuelle</t>
        </is>
      </c>
      <c r="C35" s="8" t="inlineStr">
        <is>
          <t>Target</t>
        </is>
      </c>
      <c r="D35" s="8" t="inlineStr">
        <is>
          <t>Statut</t>
        </is>
      </c>
      <c r="E35" s="8" t="inlineStr">
        <is>
          <t>Source</t>
        </is>
      </c>
    </row>
    <row r="36">
      <c r="A36" s="5" t="inlineStr">
        <is>
          <t>Clubs actifs (Pi connectés)</t>
        </is>
      </c>
      <c r="B36" s="5" t="inlineStr">
        <is>
          <t>50+</t>
        </is>
      </c>
      <c r="C36" s="5" t="inlineStr">
        <is>
          <t>100</t>
        </is>
      </c>
      <c r="D36" s="5" t="inlineStr">
        <is>
          <t>🟡 En cours</t>
        </is>
      </c>
      <c r="E36" s="5" t="inlineStr">
        <is>
          <t>Dashboard fleet</t>
        </is>
      </c>
    </row>
    <row r="37">
      <c r="A37" s="5" t="inlineStr">
        <is>
          <t>Annonceurs actifs</t>
        </is>
      </c>
      <c r="B37" s="5" t="inlineStr">
        <is>
          <t>~10</t>
        </is>
      </c>
      <c r="C37" s="5" t="inlineStr">
        <is>
          <t>50</t>
        </is>
      </c>
      <c r="D37" s="5" t="inlineStr">
        <is>
          <t>🟡 Early stage</t>
        </is>
      </c>
      <c r="E37" s="5" t="inlineStr">
        <is>
          <t>DB advertisers</t>
        </is>
      </c>
    </row>
    <row r="38">
      <c r="A38" s="5" t="inlineStr">
        <is>
          <t>Tests totaux</t>
        </is>
      </c>
      <c r="B38" s="5" t="inlineStr">
        <is>
          <t>2 387</t>
        </is>
      </c>
      <c r="C38" s="5" t="inlineStr">
        <is>
          <t>2 500</t>
        </is>
      </c>
      <c r="D38" s="5" t="inlineStr">
        <is>
          <t>🟢 On track</t>
        </is>
      </c>
      <c r="E38" s="5" t="inlineStr">
        <is>
          <t>npm run test:*</t>
        </is>
      </c>
    </row>
    <row r="39">
      <c r="A39" s="5" t="inlineStr">
        <is>
          <t>Uptime API</t>
        </is>
      </c>
      <c r="B39" s="5" t="inlineStr">
        <is>
          <t>99.2%</t>
        </is>
      </c>
      <c r="C39" s="5" t="inlineStr">
        <is>
          <t>99.5%</t>
        </is>
      </c>
      <c r="D39" s="5" t="inlineStr">
        <is>
          <t>🟡 Proche</t>
        </is>
      </c>
      <c r="E39" s="5" t="inlineStr">
        <is>
          <t>Grafana</t>
        </is>
      </c>
    </row>
    <row r="40">
      <c r="A40" s="5" t="inlineStr">
        <is>
          <t>Versions livrées</t>
        </is>
      </c>
      <c r="B40" s="5" t="inlineStr">
        <is>
          <t>30+ (v3.47→v3.60)</t>
        </is>
      </c>
      <c r="C40" s="5" t="inlineStr">
        <is>
          <t>Continu</t>
        </is>
      </c>
      <c r="D40" s="5" t="inlineStr">
        <is>
          <t>🟢 Actif</t>
        </is>
      </c>
      <c r="E40" s="5" t="inlineStr">
        <is>
          <t>Git tags</t>
        </is>
      </c>
    </row>
    <row r="41">
      <c r="A41" s="5" t="inlineStr">
        <is>
          <t>Features implémentées</t>
        </is>
      </c>
      <c r="B41" s="5" t="inlineStr">
        <is>
          <t>176+</t>
        </is>
      </c>
      <c r="C41" s="5" t="inlineStr">
        <is>
          <t>-</t>
        </is>
      </c>
      <c r="D41" s="5" t="inlineStr">
        <is>
          <t>🟢 Complet</t>
        </is>
      </c>
      <c r="E41" s="5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32" customWidth="1" min="3" max="3"/>
    <col width="40" customWidth="1" min="4" max="4"/>
    <col width="40" customWidth="1" min="5" max="5"/>
    <col width="28" customWidth="1" min="6" max="6"/>
    <col width="35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5" t="n">
        <v>1</v>
      </c>
      <c r="B10" s="5" t="inlineStr">
        <is>
          <t>Vente &amp; signature</t>
        </is>
      </c>
      <c r="C10" s="5" t="inlineStr">
        <is>
          <t>CRM (externe)</t>
        </is>
      </c>
      <c r="D10" s="5" t="inlineStr">
        <is>
          <t>Commercial</t>
        </is>
      </c>
      <c r="E10" s="5" t="inlineStr">
        <is>
          <t>1-2 semaines</t>
        </is>
      </c>
      <c r="F10" s="5" t="inlineStr">
        <is>
          <t>Lead club</t>
        </is>
      </c>
      <c r="G10" s="5" t="inlineStr">
        <is>
          <t>Contrat signé + abonnement</t>
        </is>
      </c>
    </row>
    <row r="11">
      <c r="A11" s="5" t="n">
        <v>2</v>
      </c>
      <c r="B11" s="5" t="inlineStr">
        <is>
          <t>Installation Pi</t>
        </is>
      </c>
      <c r="C11" s="5" t="inlineStr">
        <is>
          <t>Toolbox Déploiement</t>
        </is>
      </c>
      <c r="D11" s="5" t="inlineStr">
        <is>
          <t>Technicien</t>
        </is>
      </c>
      <c r="E11" s="5" t="inlineStr">
        <is>
          <t>1-2 heures</t>
        </is>
      </c>
      <c r="F11" s="5" t="inlineStr">
        <is>
          <t>Pi + TV + SD card</t>
        </is>
      </c>
      <c r="G11" s="5" t="inlineStr">
        <is>
          <t>Pi connecté au Dashboard</t>
        </is>
      </c>
    </row>
    <row r="12">
      <c r="A12" s="5" t="n">
        <v>3</v>
      </c>
      <c r="B12" s="5" t="inlineStr">
        <is>
          <t>Configuration club</t>
        </is>
      </c>
      <c r="C12" s="5" t="inlineStr">
        <is>
          <t>Dashboard Admin</t>
        </is>
      </c>
      <c r="D12" s="5" t="inlineStr">
        <is>
          <t>Opérateur</t>
        </is>
      </c>
      <c r="E12" s="5" t="inlineStr">
        <is>
          <t>15 min</t>
        </is>
      </c>
      <c r="F12" s="5" t="inlineStr">
        <is>
          <t>Logo, catégories, sponsors</t>
        </is>
      </c>
      <c r="G12" s="5" t="inlineStr">
        <is>
          <t>Config déployée sur Pi</t>
        </is>
      </c>
    </row>
    <row r="13">
      <c r="A13" s="5" t="n">
        <v>4</v>
      </c>
      <c r="B13" s="5" t="inlineStr">
        <is>
          <t>Upload vidéos contenu</t>
        </is>
      </c>
      <c r="C13" s="5" t="inlineStr">
        <is>
          <t>Dashboard Admin</t>
        </is>
      </c>
      <c r="D13" s="5" t="inlineStr">
        <is>
          <t>Opérateur</t>
        </is>
      </c>
      <c r="E13" s="5" t="inlineStr">
        <is>
          <t>10 min</t>
        </is>
      </c>
      <c r="F13" s="5" t="inlineStr">
        <is>
          <t>Fichiers vidéo</t>
        </is>
      </c>
      <c r="G13" s="5" t="inlineStr">
        <is>
          <t>Vidéos sur FTP + checksum</t>
        </is>
      </c>
    </row>
    <row r="14">
      <c r="A14" s="5" t="n">
        <v>5</v>
      </c>
      <c r="B14" s="5" t="inlineStr">
        <is>
          <t>Déploiement vers Pi</t>
        </is>
      </c>
      <c r="C14" s="5" t="inlineStr">
        <is>
          <t>Central Server → Sync Agent</t>
        </is>
      </c>
      <c r="D14" s="5" t="inlineStr">
        <is>
          <t>Automatisé</t>
        </is>
      </c>
      <c r="E14" s="5" t="inlineStr">
        <is>
          <t>2-5 min</t>
        </is>
      </c>
      <c r="F14" s="5" t="inlineStr">
        <is>
          <t>Commande deploy</t>
        </is>
      </c>
      <c r="G14" s="5" t="inlineStr">
        <is>
          <t>Vidéos sur disque Pi</t>
        </is>
      </c>
    </row>
    <row r="15">
      <c r="A15" s="5" t="n">
        <v>6</v>
      </c>
      <c r="B15" s="5" t="inlineStr">
        <is>
          <t>Diffusion sur TV</t>
        </is>
      </c>
      <c r="C15" s="5" t="inlineStr">
        <is>
          <t>TV Player</t>
        </is>
      </c>
      <c r="D15" s="5" t="inlineStr">
        <is>
          <t>Automatisé</t>
        </is>
      </c>
      <c r="E15" s="5" t="inlineStr">
        <is>
          <t>Immédiat</t>
        </is>
      </c>
      <c r="F15" s="5" t="inlineStr">
        <is>
          <t>Config + vidéos</t>
        </is>
      </c>
      <c r="G15" s="5" t="inlineStr">
        <is>
          <t>Boucle vidéo diffusée</t>
        </is>
      </c>
    </row>
    <row r="16">
      <c r="A16" s="5" t="n">
        <v>7</v>
      </c>
      <c r="B16" s="5" t="inlineStr">
        <is>
          <t>Match day (bénévole)</t>
        </is>
      </c>
      <c r="C16" s="5" t="inlineStr">
        <is>
          <t>Télécommande</t>
        </is>
      </c>
      <c r="D16" s="5" t="inlineStr">
        <is>
          <t>Staff club</t>
        </is>
      </c>
      <c r="E16" s="5" t="inlineStr">
        <is>
          <t>Durée match</t>
        </is>
      </c>
      <c r="F16" s="5" t="inlineStr">
        <is>
          <t>QR code / URL</t>
        </is>
      </c>
      <c r="G16" s="5" t="inlineStr">
        <is>
          <t>Score live + phases + recording</t>
        </is>
      </c>
    </row>
    <row r="17">
      <c r="A17" s="5" t="n">
        <v>8</v>
      </c>
      <c r="B17" s="5" t="inlineStr">
        <is>
          <t>Analytics &amp; rapports</t>
        </is>
      </c>
      <c r="C17" s="5" t="inlineStr">
        <is>
          <t>Dashboard + PDF</t>
        </is>
      </c>
      <c r="D17" s="5" t="inlineStr">
        <is>
          <t>Automatisé</t>
        </is>
      </c>
      <c r="E17" s="5" t="inlineStr">
        <is>
          <t>Quotidien</t>
        </is>
      </c>
      <c r="F17" s="5" t="inlineStr">
        <is>
          <t>Impressions brutes</t>
        </is>
      </c>
      <c r="G17" s="5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5" t="n">
        <v>1</v>
      </c>
      <c r="B21" s="5" t="inlineStr">
        <is>
          <t>Inscription annonceur</t>
        </is>
      </c>
      <c r="C21" s="5" t="inlineStr">
        <is>
          <t>Portail Annonceur / Magic Link</t>
        </is>
      </c>
      <c r="D21" s="5" t="inlineStr">
        <is>
          <t>Annonceur</t>
        </is>
      </c>
      <c r="E21" s="5" t="inlineStr">
        <is>
          <t>5 min</t>
        </is>
      </c>
      <c r="F21" s="5" t="inlineStr">
        <is>
          <t>Email + vidéo pub</t>
        </is>
      </c>
      <c r="G21" s="5" t="inlineStr">
        <is>
          <t>Compte créé + vidéo uploadée</t>
        </is>
      </c>
    </row>
    <row r="22">
      <c r="A22" s="5" t="n">
        <v>2</v>
      </c>
      <c r="B22" s="5" t="inlineStr">
        <is>
          <t>Association site-sponsor</t>
        </is>
      </c>
      <c r="C22" s="5" t="inlineStr">
        <is>
          <t>Dashboard Admin</t>
        </is>
      </c>
      <c r="D22" s="5" t="inlineStr">
        <is>
          <t>Opérateur</t>
        </is>
      </c>
      <c r="E22" s="5" t="inlineStr">
        <is>
          <t>2 min</t>
        </is>
      </c>
      <c r="F22" s="5" t="inlineStr">
        <is>
          <t>Sponsor + sites cibles</t>
        </is>
      </c>
      <c r="G22" s="5" t="inlineStr">
        <is>
          <t>Mapping sponsor→sites</t>
        </is>
      </c>
    </row>
    <row r="23">
      <c r="A23" s="5" t="n">
        <v>3</v>
      </c>
      <c r="B23" s="5" t="inlineStr">
        <is>
          <t>Sync sponsors vers Pi</t>
        </is>
      </c>
      <c r="C23" s="5" t="inlineStr">
        <is>
          <t>Central Server → Sync Agent</t>
        </is>
      </c>
      <c r="D23" s="5" t="inlineStr">
        <is>
          <t>Automatisé</t>
        </is>
      </c>
      <c r="E23" s="5" t="inlineStr">
        <is>
          <t>2-5 min</t>
        </is>
      </c>
      <c r="F23" s="5" t="inlineStr">
        <is>
          <t>Config updated</t>
        </is>
      </c>
      <c r="G23" s="5" t="inlineStr">
        <is>
          <t>Sponsors sur disque Pi</t>
        </is>
      </c>
    </row>
    <row r="24">
      <c r="A24" s="5" t="n">
        <v>4</v>
      </c>
      <c r="B24" s="5" t="inlineStr">
        <is>
          <t>Diffusion pub sur TV</t>
        </is>
      </c>
      <c r="C24" s="5" t="inlineStr">
        <is>
          <t>TV Player</t>
        </is>
      </c>
      <c r="D24" s="5" t="inlineStr">
        <is>
          <t>Automatisé</t>
        </is>
      </c>
      <c r="E24" s="5" t="inlineStr">
        <is>
          <t>Immédiat</t>
        </is>
      </c>
      <c r="F24" s="5" t="inlineStr">
        <is>
          <t>Boucle vidéo avec pubs</t>
        </is>
      </c>
      <c r="G24" s="5" t="inlineStr">
        <is>
          <t>Impressions trackées</t>
        </is>
      </c>
    </row>
    <row r="25">
      <c r="A25" s="5" t="n">
        <v>5</v>
      </c>
      <c r="B25" s="5" t="inlineStr">
        <is>
          <t>Tracking impressions</t>
        </is>
      </c>
      <c r="C25" s="5" t="inlineStr">
        <is>
          <t>TV Player → Sync Agent → API</t>
        </is>
      </c>
      <c r="D25" s="5" t="inlineStr">
        <is>
          <t>Automatisé</t>
        </is>
      </c>
      <c r="E25" s="5" t="inlineStr">
        <is>
          <t>Batch quotidien</t>
        </is>
      </c>
      <c r="F25" s="5" t="inlineStr">
        <is>
          <t>Buffer local Pi</t>
        </is>
      </c>
      <c r="G25" s="5" t="inlineStr">
        <is>
          <t>Impressions en DB</t>
        </is>
      </c>
    </row>
    <row r="26">
      <c r="A26" s="5" t="n">
        <v>6</v>
      </c>
      <c r="B26" s="5" t="inlineStr">
        <is>
          <t>Proof of broadcast</t>
        </is>
      </c>
      <c r="C26" s="5" t="inlineStr">
        <is>
          <t>Central Server</t>
        </is>
      </c>
      <c r="D26" s="5" t="inlineStr">
        <is>
          <t>Automatisé</t>
        </is>
      </c>
      <c r="E26" s="5" t="inlineStr">
        <is>
          <t>Temps réel</t>
        </is>
      </c>
      <c r="F26" s="5" t="inlineStr">
        <is>
          <t>Screenshot + timestamp</t>
        </is>
      </c>
      <c r="G26" s="5" t="inlineStr">
        <is>
          <t>Preuve certifiée SHA-256</t>
        </is>
      </c>
    </row>
    <row r="27">
      <c r="A27" s="5" t="n">
        <v>7</v>
      </c>
      <c r="B27" s="5" t="inlineStr">
        <is>
          <t>Rapport annonceur</t>
        </is>
      </c>
      <c r="C27" s="5" t="inlineStr">
        <is>
          <t>Portail Annonceur / PDF</t>
        </is>
      </c>
      <c r="D27" s="5" t="inlineStr">
        <is>
          <t>Annonceur</t>
        </is>
      </c>
      <c r="E27" s="5" t="inlineStr">
        <is>
          <t>Self-service</t>
        </is>
      </c>
      <c r="F27" s="5" t="inlineStr">
        <is>
          <t>Stats agrégées</t>
        </is>
      </c>
      <c r="G27" s="5" t="inlineStr">
        <is>
          <t>PDF/Excel export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2" customWidth="1" min="7" max="7"/>
    <col width="11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0" t="inlineStr">
        <is>
          <t>← Dashboard</t>
        </is>
      </c>
    </row>
    <row r="2"/>
    <row r="3">
      <c r="A3" s="4" t="inlineStr">
        <is>
          <t>Epic ID</t>
        </is>
      </c>
      <c r="B3" s="4" t="inlineStr">
        <is>
          <t>Name</t>
        </is>
      </c>
      <c r="C3" s="4" t="inlineStr">
        <is>
          <t>VS</t>
        </is>
      </c>
      <c r="D3" s="4" t="inlineStr">
        <is>
          <t>Theme</t>
        </is>
      </c>
      <c r="E3" s="4" t="inlineStr">
        <is>
          <t>WSJF</t>
        </is>
      </c>
      <c r="F3" s="4" t="inlineStr">
        <is>
          <t>PI</t>
        </is>
      </c>
      <c r="G3" s="4" t="inlineStr">
        <is>
          <t>Status</t>
        </is>
      </c>
      <c r="H3" s="4" t="inlineStr">
        <is>
          <t>Cost (SP)</t>
        </is>
      </c>
      <c r="I3" s="4" t="inlineStr">
        <is>
          <t>Benefit (€)</t>
        </is>
      </c>
      <c r="J3" s="4" t="inlineStr">
        <is>
          <t>Business Value</t>
        </is>
      </c>
      <c r="K3" s="4" t="inlineStr">
        <is>
          <t>Time Criticality</t>
        </is>
      </c>
      <c r="L3" s="4" t="inlineStr">
        <is>
          <t>Job Size</t>
        </is>
      </c>
    </row>
    <row r="4">
      <c r="A4" s="5" t="inlineStr">
        <is>
          <t>E-01</t>
        </is>
      </c>
      <c r="B4" s="5" t="inlineStr">
        <is>
          <t>Portail Sponsor Self-Service</t>
        </is>
      </c>
      <c r="C4" s="5" t="inlineStr">
        <is>
          <t>VS2 - Sponsor to Impression</t>
        </is>
      </c>
      <c r="D4" s="5" t="inlineStr">
        <is>
          <t>TS1 - Monétisation</t>
        </is>
      </c>
      <c r="E4" s="5">
        <f>IF(L4=0,0,(J4+K4)/L4)</f>
        <v/>
      </c>
      <c r="F4" s="5" t="inlineStr">
        <is>
          <t>PI-1</t>
        </is>
      </c>
      <c r="G4" s="5" t="inlineStr">
        <is>
          <t>Backlog</t>
        </is>
      </c>
      <c r="H4" s="5" t="n">
        <v>15</v>
      </c>
      <c r="I4" s="5" t="n"/>
      <c r="J4" s="5" t="n">
        <v>5</v>
      </c>
      <c r="K4" s="5" t="n">
        <v>8</v>
      </c>
      <c r="L4" s="5" t="n">
        <v>1</v>
      </c>
    </row>
    <row r="5">
      <c r="A5" s="5" t="inlineStr">
        <is>
          <t>E-02</t>
        </is>
      </c>
      <c r="B5" s="5" t="inlineStr">
        <is>
          <t>Rotation Sponsors</t>
        </is>
      </c>
      <c r="C5" s="5" t="inlineStr">
        <is>
          <t>VS2 - Sponsor to Impression</t>
        </is>
      </c>
      <c r="D5" s="5" t="inlineStr">
        <is>
          <t>TS1 - Monétisation</t>
        </is>
      </c>
      <c r="E5" s="5">
        <f>IF(L5=0,0,(J5+K5)/L5)</f>
        <v/>
      </c>
      <c r="F5" s="5" t="inlineStr">
        <is>
          <t>PI-1</t>
        </is>
      </c>
      <c r="G5" s="5" t="inlineStr">
        <is>
          <t>Backlog</t>
        </is>
      </c>
      <c r="H5" s="5" t="n">
        <v>8</v>
      </c>
      <c r="I5" s="5" t="n"/>
      <c r="J5" s="5" t="n">
        <v>5</v>
      </c>
      <c r="K5" s="5" t="n">
        <v>5</v>
      </c>
      <c r="L5" s="5" t="n">
        <v>1</v>
      </c>
    </row>
    <row r="6">
      <c r="A6" s="5" t="inlineStr">
        <is>
          <t>E-03</t>
        </is>
      </c>
      <c r="B6" s="5" t="inlineStr">
        <is>
          <t>Analytics Sponsors Avancé</t>
        </is>
      </c>
      <c r="C6" s="5" t="inlineStr">
        <is>
          <t>VS2 - Sponsor to Impression</t>
        </is>
      </c>
      <c r="D6" s="5" t="inlineStr">
        <is>
          <t>TS1 - Monétisation</t>
        </is>
      </c>
      <c r="E6" s="5">
        <f>IF(L6=0,0,(J6+K6)/L6)</f>
        <v/>
      </c>
      <c r="F6" s="5" t="inlineStr">
        <is>
          <t>PI-1</t>
        </is>
      </c>
      <c r="G6" s="5" t="inlineStr">
        <is>
          <t>Backlog</t>
        </is>
      </c>
      <c r="H6" s="5" t="n">
        <v>13</v>
      </c>
      <c r="I6" s="5" t="n"/>
      <c r="J6" s="5" t="n">
        <v>8</v>
      </c>
      <c r="K6" s="5" t="n">
        <v>13</v>
      </c>
      <c r="L6" s="5" t="n">
        <v>1</v>
      </c>
    </row>
    <row r="7">
      <c r="A7" s="5" t="inlineStr">
        <is>
          <t>E-04</t>
        </is>
      </c>
      <c r="B7" s="5" t="inlineStr">
        <is>
          <t>Profils Config Match</t>
        </is>
      </c>
      <c r="C7" s="5" t="inlineStr">
        <is>
          <t>VS1 - Club to Screen</t>
        </is>
      </c>
      <c r="D7" s="5" t="inlineStr">
        <is>
          <t>TS2 - Expérience Match</t>
        </is>
      </c>
      <c r="E7" s="5">
        <f>IF(L7=0,0,(J7+K7)/L7)</f>
        <v/>
      </c>
      <c r="F7" s="5" t="inlineStr">
        <is>
          <t>PI-1</t>
        </is>
      </c>
      <c r="G7" s="11" t="inlineStr">
        <is>
          <t>✅ Done</t>
        </is>
      </c>
      <c r="H7" s="5" t="n">
        <v>10</v>
      </c>
      <c r="I7" s="5" t="n"/>
      <c r="J7" s="5" t="n">
        <v>3</v>
      </c>
      <c r="K7" s="5" t="n">
        <v>5</v>
      </c>
      <c r="L7" s="5" t="n">
        <v>1</v>
      </c>
    </row>
    <row r="8">
      <c r="A8" s="5" t="inlineStr">
        <is>
          <t>E-06</t>
        </is>
      </c>
      <c r="B8" s="5" t="inlineStr">
        <is>
          <t>Onboarding Automatisé</t>
        </is>
      </c>
      <c r="C8" s="5" t="inlineStr">
        <is>
          <t>VS1 - Club to Screen</t>
        </is>
      </c>
      <c r="D8" s="5" t="inlineStr">
        <is>
          <t>TS3 - Acquisition</t>
        </is>
      </c>
      <c r="E8" s="5">
        <f>IF(L8=0,0,(J8+K8)/L8)</f>
        <v/>
      </c>
      <c r="F8" s="5" t="inlineStr">
        <is>
          <t>PI-1</t>
        </is>
      </c>
      <c r="G8" s="5" t="inlineStr">
        <is>
          <t>Backlog</t>
        </is>
      </c>
      <c r="H8" s="5" t="n">
        <v>13</v>
      </c>
      <c r="I8" s="5" t="n"/>
      <c r="J8" s="5" t="n">
        <v>5</v>
      </c>
      <c r="K8" s="5" t="n">
        <v>8</v>
      </c>
      <c r="L8" s="5" t="n">
        <v>2</v>
      </c>
    </row>
    <row r="9">
      <c r="A9" s="5" t="inlineStr">
        <is>
          <t>E-07</t>
        </is>
      </c>
      <c r="B9" s="5" t="inlineStr">
        <is>
          <t>Résilience WiFi V2</t>
        </is>
      </c>
      <c r="C9" s="5" t="inlineStr">
        <is>
          <t>VS1 - Club to Screen</t>
        </is>
      </c>
      <c r="D9" s="5" t="inlineStr">
        <is>
          <t>TS3 - Acquisition</t>
        </is>
      </c>
      <c r="E9" s="5">
        <f>IF(L9=0,0,(J9+K9)/L9)</f>
        <v/>
      </c>
      <c r="F9" s="5" t="inlineStr">
        <is>
          <t>PI-1</t>
        </is>
      </c>
      <c r="G9" s="12" t="inlineStr">
        <is>
          <t>⚠️ Partiel</t>
        </is>
      </c>
      <c r="H9" s="5" t="n">
        <v>10</v>
      </c>
      <c r="I9" s="5" t="n"/>
      <c r="J9" s="5" t="n">
        <v>8</v>
      </c>
      <c r="K9" s="5" t="n">
        <v>13</v>
      </c>
      <c r="L9" s="5" t="n">
        <v>1</v>
      </c>
    </row>
    <row r="10">
      <c r="A10" s="5" t="inlineStr">
        <is>
          <t>E-08</t>
        </is>
      </c>
      <c r="B10" s="5" t="inlineStr">
        <is>
          <t>Alertes Prédictives</t>
        </is>
      </c>
      <c r="C10" s="5" t="inlineStr">
        <is>
          <t>Transverse</t>
        </is>
      </c>
      <c r="D10" s="5" t="inlineStr">
        <is>
          <t>TS4 - Excellence Ops</t>
        </is>
      </c>
      <c r="E10" s="5">
        <f>IF(L10=0,0,(J10+K10)/L10)</f>
        <v/>
      </c>
      <c r="F10" s="5" t="inlineStr">
        <is>
          <t>PI-1</t>
        </is>
      </c>
      <c r="G10" s="11" t="inlineStr">
        <is>
          <t>✅ Done</t>
        </is>
      </c>
      <c r="H10" s="5" t="n">
        <v>8</v>
      </c>
      <c r="I10" s="5" t="n"/>
      <c r="J10" s="5" t="n">
        <v>5</v>
      </c>
      <c r="K10" s="5" t="n">
        <v>8</v>
      </c>
      <c r="L10" s="5" t="n">
        <v>1</v>
      </c>
    </row>
    <row r="11">
      <c r="A11" s="5" t="inlineStr">
        <is>
          <t>E-09</t>
        </is>
      </c>
      <c r="B11" s="5" t="inlineStr">
        <is>
          <t>Architecture Audit</t>
        </is>
      </c>
      <c r="C11" s="5" t="inlineStr">
        <is>
          <t>Transverse</t>
        </is>
      </c>
      <c r="D11" s="5" t="inlineStr">
        <is>
          <t>TS4 - Excellence Ops</t>
        </is>
      </c>
      <c r="E11" s="5">
        <f>IF(L11=0,0,(J11+K11)/L11)</f>
        <v/>
      </c>
      <c r="F11" s="5" t="inlineStr">
        <is>
          <t>PI-1</t>
        </is>
      </c>
      <c r="G11" s="11" t="inlineStr">
        <is>
          <t>✅ Done</t>
        </is>
      </c>
      <c r="H11" s="5" t="n">
        <v>8</v>
      </c>
      <c r="I11" s="5" t="n"/>
      <c r="J11" s="5" t="n">
        <v>5</v>
      </c>
      <c r="K11" s="5" t="n">
        <v>5</v>
      </c>
      <c r="L11" s="5" t="n">
        <v>1</v>
      </c>
    </row>
    <row r="12">
      <c r="A12" s="5" t="inlineStr">
        <is>
          <t>E-10</t>
        </is>
      </c>
      <c r="B12" s="5" t="inlineStr">
        <is>
          <t>Monitoring Fleet</t>
        </is>
      </c>
      <c r="C12" s="5" t="inlineStr">
        <is>
          <t>Transverse</t>
        </is>
      </c>
      <c r="D12" s="5" t="inlineStr">
        <is>
          <t>TS4 - Excellence Ops</t>
        </is>
      </c>
      <c r="E12" s="5">
        <f>IF(L12=0,0,(J12+K12)/L12)</f>
        <v/>
      </c>
      <c r="F12" s="5" t="inlineStr">
        <is>
          <t>PI-1</t>
        </is>
      </c>
      <c r="G12" s="12" t="inlineStr">
        <is>
          <t>⚠️ Partiel</t>
        </is>
      </c>
      <c r="H12" s="5" t="n">
        <v>10</v>
      </c>
      <c r="I12" s="5" t="n"/>
      <c r="J12" s="5" t="n">
        <v>8</v>
      </c>
      <c r="K12" s="5" t="n">
        <v>13</v>
      </c>
      <c r="L12" s="5" t="n">
        <v>2</v>
      </c>
    </row>
    <row r="13">
      <c r="A13" s="5" t="inlineStr">
        <is>
          <t>E-05</t>
        </is>
      </c>
      <c r="B13" s="5" t="inlineStr">
        <is>
          <t>Motion Design Personnalisé</t>
        </is>
      </c>
      <c r="C13" s="5" t="inlineStr">
        <is>
          <t>VS2 - Sponsor to Impression</t>
        </is>
      </c>
      <c r="D13" s="5" t="inlineStr">
        <is>
          <t>TS2 - Expérience Match</t>
        </is>
      </c>
      <c r="E13" s="5">
        <f>IF(L13=0,0,(J13+K13)/L13)</f>
        <v/>
      </c>
      <c r="F13" s="5" t="inlineStr">
        <is>
          <t>PI-2</t>
        </is>
      </c>
      <c r="G13" s="5" t="inlineStr">
        <is>
          <t>Backlog</t>
        </is>
      </c>
      <c r="H13" s="5" t="n">
        <v>13</v>
      </c>
      <c r="I13" s="5" t="n"/>
      <c r="J13" s="5" t="n">
        <v>5</v>
      </c>
      <c r="K13" s="5" t="n">
        <v>5</v>
      </c>
      <c r="L13" s="5" t="n">
        <v>1</v>
      </c>
    </row>
    <row r="14">
      <c r="A14" s="5" t="inlineStr">
        <is>
          <t>E-11</t>
        </is>
      </c>
      <c r="B14" s="5" t="inlineStr">
        <is>
          <t>Régie Publicitaire Régionale</t>
        </is>
      </c>
      <c r="C14" s="5" t="inlineStr">
        <is>
          <t>VS2 - Sponsor to Impression</t>
        </is>
      </c>
      <c r="D14" s="5" t="inlineStr">
        <is>
          <t>TS1 - Monétisation</t>
        </is>
      </c>
      <c r="E14" s="5">
        <f>IF(L14=0,0,(J14+K14)/L14)</f>
        <v/>
      </c>
      <c r="F14" s="5" t="inlineStr">
        <is>
          <t>PI-2</t>
        </is>
      </c>
      <c r="G14" s="5" t="inlineStr">
        <is>
          <t>Backlog</t>
        </is>
      </c>
      <c r="H14" s="5" t="n">
        <v>20</v>
      </c>
      <c r="I14" s="5" t="n"/>
      <c r="J14" s="5" t="n">
        <v>3</v>
      </c>
      <c r="K14" s="5" t="n">
        <v>5</v>
      </c>
      <c r="L14" s="5" t="n">
        <v>1</v>
      </c>
    </row>
    <row r="15">
      <c r="A15" s="5" t="inlineStr">
        <is>
          <t>E-15</t>
        </is>
      </c>
      <c r="B15" s="5" t="inlineStr">
        <is>
          <t>Score en Live Phase 2 (API Fédérations)</t>
        </is>
      </c>
      <c r="C15" s="5" t="inlineStr">
        <is>
          <t>VS1 - Club to Screen</t>
        </is>
      </c>
      <c r="D15" s="5" t="inlineStr">
        <is>
          <t>TS2 - Expérience Match</t>
        </is>
      </c>
      <c r="E15" s="5">
        <f>IF(L15=0,0,(J15+K15)/L15)</f>
        <v/>
      </c>
      <c r="F15" s="5" t="inlineStr">
        <is>
          <t>PI-2</t>
        </is>
      </c>
      <c r="G15" s="5" t="inlineStr">
        <is>
          <t>Backlog</t>
        </is>
      </c>
      <c r="H15" s="5" t="n">
        <v>11</v>
      </c>
      <c r="I15" s="5" t="n"/>
      <c r="J15" s="5" t="n">
        <v>3</v>
      </c>
      <c r="K15" s="5" t="n">
        <v>5</v>
      </c>
      <c r="L15" s="5" t="n">
        <v>1</v>
      </c>
    </row>
    <row r="16">
      <c r="A16" s="5" t="inlineStr">
        <is>
          <t>E-16</t>
        </is>
      </c>
      <c r="B16" s="5" t="inlineStr">
        <is>
          <t>Rapports Email Automatiques</t>
        </is>
      </c>
      <c r="C16" s="5" t="inlineStr">
        <is>
          <t>Transverse</t>
        </is>
      </c>
      <c r="D16" s="5" t="inlineStr">
        <is>
          <t>TS4 - Excellence Ops</t>
        </is>
      </c>
      <c r="E16" s="5">
        <f>IF(L16=0,0,(J16+K16)/L16)</f>
        <v/>
      </c>
      <c r="F16" s="5" t="inlineStr">
        <is>
          <t>PI-2</t>
        </is>
      </c>
      <c r="G16" s="5" t="inlineStr">
        <is>
          <t>Backlog</t>
        </is>
      </c>
      <c r="H16" s="5" t="n">
        <v>8</v>
      </c>
      <c r="I16" s="5" t="n"/>
      <c r="J16" s="5" t="n">
        <v>2</v>
      </c>
      <c r="K16" s="5" t="n">
        <v>5</v>
      </c>
      <c r="L16" s="5" t="n">
        <v>2</v>
      </c>
    </row>
    <row r="17">
      <c r="A17" s="5" t="inlineStr">
        <is>
          <t>E-17</t>
        </is>
      </c>
      <c r="B17" s="5" t="inlineStr">
        <is>
          <t>A/B Testing Créas Sponsors</t>
        </is>
      </c>
      <c r="C17" s="5" t="inlineStr">
        <is>
          <t>VS2 - Sponsor to Impression</t>
        </is>
      </c>
      <c r="D17" s="5" t="inlineStr">
        <is>
          <t>TS1 - Monétisation</t>
        </is>
      </c>
      <c r="E17" s="5">
        <f>IF(L17=0,0,(J17+K17)/L17)</f>
        <v/>
      </c>
      <c r="F17" s="5" t="inlineStr">
        <is>
          <t>PI-2</t>
        </is>
      </c>
      <c r="G17" s="5" t="inlineStr">
        <is>
          <t>Backlog</t>
        </is>
      </c>
      <c r="H17" s="5" t="n">
        <v>13</v>
      </c>
      <c r="I17" s="5" t="n"/>
      <c r="J17" s="5" t="n">
        <v>2</v>
      </c>
      <c r="K17" s="5" t="n">
        <v>3</v>
      </c>
      <c r="L17" s="5" t="n">
        <v>1</v>
      </c>
    </row>
    <row r="18">
      <c r="A18" s="5" t="inlineStr">
        <is>
          <t>E-12</t>
        </is>
      </c>
      <c r="B18" s="5" t="inlineStr">
        <is>
          <t>Multi-Écrans Synchronisés</t>
        </is>
      </c>
      <c r="C18" s="5" t="inlineStr">
        <is>
          <t>VS1 - Club to Screen</t>
        </is>
      </c>
      <c r="D18" s="5" t="inlineStr">
        <is>
          <t>TS2 - Expérience Match</t>
        </is>
      </c>
      <c r="E18" s="5">
        <f>IF(L18=0,0,(J18+K18)/L18)</f>
        <v/>
      </c>
      <c r="F18" s="5" t="inlineStr">
        <is>
          <t>PI-3</t>
        </is>
      </c>
      <c r="G18" s="5" t="inlineStr">
        <is>
          <t>Backlog</t>
        </is>
      </c>
      <c r="H18" s="5" t="n">
        <v>15</v>
      </c>
      <c r="I18" s="5" t="n"/>
      <c r="J18" s="5" t="n">
        <v>2</v>
      </c>
      <c r="K18" s="5" t="n">
        <v>3</v>
      </c>
      <c r="L18" s="5" t="n">
        <v>1</v>
      </c>
    </row>
    <row r="19">
      <c r="A19" s="5" t="inlineStr">
        <is>
          <t>E-13</t>
        </is>
      </c>
      <c r="B19" s="5" t="inlineStr">
        <is>
          <t>Marque Blanche Club</t>
        </is>
      </c>
      <c r="C19" s="5" t="inlineStr">
        <is>
          <t>VS1 - Club to Screen</t>
        </is>
      </c>
      <c r="D19" s="5" t="inlineStr">
        <is>
          <t>TS2 - Expérience Match</t>
        </is>
      </c>
      <c r="E19" s="5">
        <f>IF(L19=0,0,(J19+K19)/L19)</f>
        <v/>
      </c>
      <c r="F19" s="5" t="inlineStr">
        <is>
          <t>PI-3</t>
        </is>
      </c>
      <c r="G19" s="5" t="inlineStr">
        <is>
          <t>Backlog</t>
        </is>
      </c>
      <c r="H19" s="5" t="n">
        <v>8</v>
      </c>
      <c r="I19" s="5" t="n"/>
      <c r="J19" s="5" t="n">
        <v>3</v>
      </c>
      <c r="K19" s="5" t="n">
        <v>5</v>
      </c>
      <c r="L19" s="5" t="n">
        <v>1</v>
      </c>
    </row>
    <row r="20">
      <c r="A20" s="5" t="inlineStr">
        <is>
          <t>E-14</t>
        </is>
      </c>
      <c r="B20" s="5" t="inlineStr">
        <is>
          <t>Fonds de Solidarité Sport</t>
        </is>
      </c>
      <c r="C20" s="5" t="inlineStr">
        <is>
          <t>Transverse</t>
        </is>
      </c>
      <c r="D20" s="5" t="inlineStr">
        <is>
          <t>TS3 - Acquisition</t>
        </is>
      </c>
      <c r="E20" s="5">
        <f>IF(L20=0,0,(J20+K20)/L20)</f>
        <v/>
      </c>
      <c r="F20" s="5" t="inlineStr">
        <is>
          <t>PI-3</t>
        </is>
      </c>
      <c r="G20" s="5" t="inlineStr">
        <is>
          <t>Backlog</t>
        </is>
      </c>
      <c r="H20" s="5" t="n">
        <v>5</v>
      </c>
      <c r="I20" s="5" t="n"/>
      <c r="J20" s="5" t="n">
        <v>3</v>
      </c>
      <c r="K20" s="5" t="n">
        <v>5</v>
      </c>
      <c r="L20" s="5" t="n">
        <v>2</v>
      </c>
    </row>
    <row r="21">
      <c r="A21" s="5" t="inlineStr">
        <is>
          <t>E-18</t>
        </is>
      </c>
      <c r="B21" s="5" t="inlineStr">
        <is>
          <t>Intégrations Billetterie</t>
        </is>
      </c>
      <c r="C21" s="5" t="inlineStr">
        <is>
          <t>VS1 - Club to Screen</t>
        </is>
      </c>
      <c r="D21" s="5" t="inlineStr">
        <is>
          <t>TS2 - Expérience Match</t>
        </is>
      </c>
      <c r="E21" s="5">
        <f>IF(L21=0,0,(J21+K21)/L21)</f>
        <v/>
      </c>
      <c r="F21" s="5" t="inlineStr">
        <is>
          <t>PI-3</t>
        </is>
      </c>
      <c r="G21" s="5" t="inlineStr">
        <is>
          <t>Backlog</t>
        </is>
      </c>
      <c r="H21" s="5" t="n">
        <v>8</v>
      </c>
      <c r="I21" s="5" t="n"/>
      <c r="J21" s="5" t="n">
        <v>2</v>
      </c>
      <c r="K21" s="5" t="n">
        <v>3</v>
      </c>
      <c r="L21" s="5" t="n">
        <v>1</v>
      </c>
    </row>
    <row r="22">
      <c r="A22" s="5" t="inlineStr">
        <is>
          <t>E-19</t>
        </is>
      </c>
      <c r="B22" s="5" t="inlineStr">
        <is>
          <t>Capteurs Présence Hardware</t>
        </is>
      </c>
      <c r="C22" s="5" t="inlineStr">
        <is>
          <t>VS1 - Club to Screen</t>
        </is>
      </c>
      <c r="D22" s="5" t="inlineStr">
        <is>
          <t>TS2 - Expérience Match</t>
        </is>
      </c>
      <c r="E22" s="5">
        <f>IF(L22=0,0,(J22+K22)/L22)</f>
        <v/>
      </c>
      <c r="F22" s="5" t="inlineStr">
        <is>
          <t>PI-3</t>
        </is>
      </c>
      <c r="G22" s="5" t="inlineStr">
        <is>
          <t>Backlog</t>
        </is>
      </c>
      <c r="H22" s="5" t="n">
        <v>13</v>
      </c>
      <c r="I22" s="5" t="n"/>
      <c r="J22" s="5" t="n">
        <v>2</v>
      </c>
      <c r="K22" s="5" t="n">
        <v>2</v>
      </c>
      <c r="L22" s="5" t="n">
        <v>3</v>
      </c>
    </row>
    <row r="23">
      <c r="A23" s="5" t="inlineStr">
        <is>
          <t>E-20</t>
        </is>
      </c>
      <c r="B23" s="5" t="inlineStr">
        <is>
          <t>Analytics Prédictives ML</t>
        </is>
      </c>
      <c r="C23" s="5" t="inlineStr">
        <is>
          <t>Transverse</t>
        </is>
      </c>
      <c r="D23" s="5" t="inlineStr">
        <is>
          <t>TS4 - Excellence Ops</t>
        </is>
      </c>
      <c r="E23" s="5">
        <f>IF(L23=0,0,(J23+K23)/L23)</f>
        <v/>
      </c>
      <c r="F23" s="5" t="inlineStr">
        <is>
          <t>PI-3</t>
        </is>
      </c>
      <c r="G23" s="5" t="inlineStr">
        <is>
          <t>Backlog</t>
        </is>
      </c>
      <c r="H23" s="5" t="n">
        <v>13</v>
      </c>
      <c r="I23" s="5" t="n"/>
      <c r="J23" s="5" t="n">
        <v>2</v>
      </c>
      <c r="K23" s="5" t="n">
        <v>3</v>
      </c>
      <c r="L23" s="5" t="n">
        <v>1</v>
      </c>
    </row>
    <row r="24">
      <c r="A24" s="5" t="inlineStr">
        <is>
          <t>E-21</t>
        </is>
      </c>
      <c r="B24" s="5" t="inlineStr">
        <is>
          <t>API Partenaires OAuth</t>
        </is>
      </c>
      <c r="C24" s="5" t="inlineStr">
        <is>
          <t>Transverse</t>
        </is>
      </c>
      <c r="D24" s="5" t="inlineStr">
        <is>
          <t>TS1 - Monétisation</t>
        </is>
      </c>
      <c r="E24" s="5">
        <f>IF(L24=0,0,(J24+K24)/L24)</f>
        <v/>
      </c>
      <c r="F24" s="5" t="inlineStr">
        <is>
          <t>PI-3</t>
        </is>
      </c>
      <c r="G24" s="5" t="inlineStr">
        <is>
          <t>Backlog</t>
        </is>
      </c>
      <c r="H24" s="5" t="n">
        <v>13</v>
      </c>
      <c r="I24" s="5" t="n"/>
      <c r="J24" s="5" t="n">
        <v>2</v>
      </c>
      <c r="K24" s="5" t="n">
        <v>3</v>
      </c>
      <c r="L24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7" customWidth="1" min="3" max="3"/>
    <col width="10" customWidth="1" min="4" max="4"/>
    <col width="2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0" t="inlineStr">
        <is>
          <t>← Dashboard</t>
        </is>
      </c>
    </row>
    <row r="2"/>
    <row r="3">
      <c r="A3" s="2" t="inlineStr">
        <is>
          <t>DONE SECTION</t>
        </is>
      </c>
    </row>
    <row r="4">
      <c r="A4" s="4" t="inlineStr">
        <is>
          <t>Epic</t>
        </is>
      </c>
      <c r="B4" s="4" t="inlineStr">
        <is>
          <t>Feature ID</t>
        </is>
      </c>
      <c r="C4" s="4" t="inlineStr">
        <is>
          <t>Feature</t>
        </is>
      </c>
      <c r="D4" s="4" t="inlineStr">
        <is>
          <t>US Count</t>
        </is>
      </c>
      <c r="E4" s="4" t="inlineStr">
        <is>
          <t>SP</t>
        </is>
      </c>
      <c r="F4" s="4" t="inlineStr">
        <is>
          <t>Priority</t>
        </is>
      </c>
      <c r="G4" s="4" t="inlineStr">
        <is>
          <t>Statut</t>
        </is>
      </c>
      <c r="H4" s="4" t="inlineStr">
        <is>
          <t>Notes</t>
        </is>
      </c>
      <c r="I4" s="4" t="inlineStr">
        <is>
          <t>PI</t>
        </is>
      </c>
      <c r="J4" s="4" t="inlineStr">
        <is>
          <t>Sprint</t>
        </is>
      </c>
    </row>
    <row r="5">
      <c r="A5" s="5" t="inlineStr">
        <is>
          <t>E-04</t>
        </is>
      </c>
      <c r="B5" s="5" t="inlineStr">
        <is>
          <t>F-04.1</t>
        </is>
      </c>
      <c r="C5" s="5" t="inlineStr">
        <is>
          <t>Création de profils prédéfinis</t>
        </is>
      </c>
      <c r="D5" s="5" t="n">
        <v>1</v>
      </c>
      <c r="E5" s="5" t="n">
        <v>5</v>
      </c>
      <c r="F5" s="5" t="n">
        <v>1</v>
      </c>
      <c r="G5" s="11" t="inlineStr">
        <is>
          <t>Terminé</t>
        </is>
      </c>
      <c r="H5" s="5" t="inlineStr"/>
      <c r="I5" s="5" t="inlineStr">
        <is>
          <t>PI-1</t>
        </is>
      </c>
      <c r="J5" s="5" t="inlineStr"/>
    </row>
    <row r="6">
      <c r="A6" s="5" t="inlineStr">
        <is>
          <t>E-04</t>
        </is>
      </c>
      <c r="B6" s="5" t="inlineStr">
        <is>
          <t>F-04.2</t>
        </is>
      </c>
      <c r="C6" s="5" t="inlineStr">
        <is>
          <t>Switch depuis la télécommande</t>
        </is>
      </c>
      <c r="D6" s="5" t="n">
        <v>1</v>
      </c>
      <c r="E6" s="5" t="n">
        <v>5</v>
      </c>
      <c r="F6" s="5" t="n">
        <v>1</v>
      </c>
      <c r="G6" s="11" t="inlineStr">
        <is>
          <t>Terminé</t>
        </is>
      </c>
      <c r="H6" s="5" t="inlineStr"/>
      <c r="I6" s="5" t="inlineStr">
        <is>
          <t>PI-1</t>
        </is>
      </c>
      <c r="J6" s="5" t="inlineStr"/>
    </row>
    <row r="7">
      <c r="A7" s="5" t="inlineStr">
        <is>
          <t>E-07</t>
        </is>
      </c>
      <c r="B7" s="5" t="inlineStr">
        <is>
          <t>F-07.1</t>
        </is>
      </c>
      <c r="C7" s="5" t="inlineStr">
        <is>
          <t>Cache local étendu (48h)</t>
        </is>
      </c>
      <c r="D7" s="5" t="n">
        <v>1</v>
      </c>
      <c r="E7" s="5" t="n">
        <v>3</v>
      </c>
      <c r="F7" s="5" t="n">
        <v>1</v>
      </c>
      <c r="G7" s="11" t="inlineStr">
        <is>
          <t>Terminé</t>
        </is>
      </c>
      <c r="H7" s="5" t="inlineStr"/>
      <c r="I7" s="5" t="inlineStr">
        <is>
          <t>PI-1</t>
        </is>
      </c>
      <c r="J7" s="5" t="inlineStr"/>
    </row>
    <row r="8">
      <c r="A8" s="5" t="inlineStr">
        <is>
          <t>E-07</t>
        </is>
      </c>
      <c r="B8" s="5" t="inlineStr">
        <is>
          <t>F-07.2</t>
        </is>
      </c>
      <c r="C8" s="5" t="inlineStr">
        <is>
          <t>Monitoring signal WiFi</t>
        </is>
      </c>
      <c r="D8" s="5" t="n">
        <v>1</v>
      </c>
      <c r="E8" s="5" t="n">
        <v>2</v>
      </c>
      <c r="F8" s="5" t="n">
        <v>1</v>
      </c>
      <c r="G8" s="11" t="inlineStr">
        <is>
          <t>Terminé</t>
        </is>
      </c>
      <c r="H8" s="5" t="inlineStr"/>
      <c r="I8" s="5" t="inlineStr">
        <is>
          <t>PI-1</t>
        </is>
      </c>
      <c r="J8" s="5" t="inlineStr"/>
    </row>
    <row r="9">
      <c r="A9" s="5" t="inlineStr">
        <is>
          <t>E-07</t>
        </is>
      </c>
      <c r="B9" s="5" t="inlineStr">
        <is>
          <t>F-07.3</t>
        </is>
      </c>
      <c r="C9" s="5" t="inlineStr">
        <is>
          <t>Support clé USB WiFi externe</t>
        </is>
      </c>
      <c r="D9" s="5" t="n">
        <v>1</v>
      </c>
      <c r="E9" s="5" t="n">
        <v>3</v>
      </c>
      <c r="F9" s="5" t="n">
        <v>2</v>
      </c>
      <c r="G9" s="5" t="inlineStr">
        <is>
          <t>Backlog</t>
        </is>
      </c>
      <c r="H9" s="5" t="inlineStr">
        <is>
          <t>Reliquat</t>
        </is>
      </c>
      <c r="I9" s="5" t="inlineStr">
        <is>
          <t>PI-1</t>
        </is>
      </c>
      <c r="J9" s="5" t="inlineStr">
        <is>
          <t>S3</t>
        </is>
      </c>
    </row>
    <row r="10">
      <c r="A10" s="5" t="inlineStr">
        <is>
          <t>E-08</t>
        </is>
      </c>
      <c r="B10" s="5" t="inlineStr">
        <is>
          <t>F-08.1</t>
        </is>
      </c>
      <c r="C10" s="5" t="inlineStr">
        <is>
          <t>Règles d'alertes prédictives</t>
        </is>
      </c>
      <c r="D10" s="5" t="n">
        <v>1</v>
      </c>
      <c r="E10" s="5" t="n">
        <v>4</v>
      </c>
      <c r="F10" s="5" t="n">
        <v>1</v>
      </c>
      <c r="G10" s="11" t="inlineStr">
        <is>
          <t>Terminé</t>
        </is>
      </c>
      <c r="H10" s="5" t="inlineStr"/>
      <c r="I10" s="5" t="inlineStr">
        <is>
          <t>PI-1</t>
        </is>
      </c>
      <c r="J10" s="5" t="inlineStr"/>
    </row>
    <row r="11">
      <c r="A11" s="5" t="inlineStr">
        <is>
          <t>E-08</t>
        </is>
      </c>
      <c r="B11" s="5" t="inlineStr">
        <is>
          <t>F-08.2</t>
        </is>
      </c>
      <c r="C11" s="5" t="inlineStr">
        <is>
          <t>Dashboard tendances</t>
        </is>
      </c>
      <c r="D11" s="5" t="n">
        <v>1</v>
      </c>
      <c r="E11" s="5" t="n">
        <v>4</v>
      </c>
      <c r="F11" s="5" t="n">
        <v>1</v>
      </c>
      <c r="G11" s="11" t="inlineStr">
        <is>
          <t>Terminé</t>
        </is>
      </c>
      <c r="H11" s="5" t="inlineStr"/>
      <c r="I11" s="5" t="inlineStr">
        <is>
          <t>PI-1</t>
        </is>
      </c>
      <c r="J11" s="5" t="inlineStr"/>
    </row>
    <row r="12">
      <c r="A12" s="5" t="inlineStr">
        <is>
          <t>E-09</t>
        </is>
      </c>
      <c r="B12" s="5" t="inlineStr">
        <is>
          <t>F-09.1</t>
        </is>
      </c>
      <c r="C12" s="5" t="inlineStr">
        <is>
          <t>Migration controllers vers repository pattern</t>
        </is>
      </c>
      <c r="D12" s="5" t="n">
        <v>1</v>
      </c>
      <c r="E12" s="5" t="n">
        <v>5</v>
      </c>
      <c r="F12" s="5" t="n">
        <v>1</v>
      </c>
      <c r="G12" s="11" t="inlineStr">
        <is>
          <t>Terminé</t>
        </is>
      </c>
      <c r="H12" s="5" t="inlineStr"/>
      <c r="I12" s="5" t="inlineStr">
        <is>
          <t>PI-1</t>
        </is>
      </c>
      <c r="J12" s="5" t="inlineStr"/>
    </row>
    <row r="13">
      <c r="A13" s="5" t="inlineStr">
        <is>
          <t>E-09</t>
        </is>
      </c>
      <c r="B13" s="5" t="inlineStr">
        <is>
          <t>F-09.2</t>
        </is>
      </c>
      <c r="C13" s="5" t="inlineStr">
        <is>
          <t>Audit sécurité et performance</t>
        </is>
      </c>
      <c r="D13" s="5" t="n">
        <v>1</v>
      </c>
      <c r="E13" s="5" t="n">
        <v>3</v>
      </c>
      <c r="F13" s="5" t="n">
        <v>1</v>
      </c>
      <c r="G13" s="11" t="inlineStr">
        <is>
          <t>Terminé</t>
        </is>
      </c>
      <c r="H13" s="5" t="inlineStr"/>
      <c r="I13" s="5" t="inlineStr">
        <is>
          <t>PI-1</t>
        </is>
      </c>
      <c r="J13" s="5" t="inlineStr"/>
    </row>
    <row r="14">
      <c r="A14" s="5" t="inlineStr">
        <is>
          <t>E-10</t>
        </is>
      </c>
      <c r="B14" s="5" t="inlineStr">
        <is>
          <t>F-10.1</t>
        </is>
      </c>
      <c r="C14" s="5" t="inlineStr">
        <is>
          <t>Carte de la flotte (Leaflet)</t>
        </is>
      </c>
      <c r="D14" s="5" t="n">
        <v>1</v>
      </c>
      <c r="E14" s="5" t="n">
        <v>5</v>
      </c>
      <c r="F14" s="5" t="n">
        <v>1</v>
      </c>
      <c r="G14" s="5" t="inlineStr">
        <is>
          <t>Backlog</t>
        </is>
      </c>
      <c r="H14" s="5" t="inlineStr">
        <is>
          <t>Reliquat</t>
        </is>
      </c>
      <c r="I14" s="5" t="inlineStr">
        <is>
          <t>PI-1</t>
        </is>
      </c>
      <c r="J14" s="5" t="inlineStr">
        <is>
          <t>S1</t>
        </is>
      </c>
    </row>
    <row r="15">
      <c r="A15" s="5" t="inlineStr">
        <is>
          <t>E-10</t>
        </is>
      </c>
      <c r="B15" s="5" t="inlineStr">
        <is>
          <t>F-10.2</t>
        </is>
      </c>
      <c r="C15" s="5" t="inlineStr">
        <is>
          <t>Métriques agrégées flotte</t>
        </is>
      </c>
      <c r="D15" s="5" t="n">
        <v>1</v>
      </c>
      <c r="E15" s="5" t="n">
        <v>5</v>
      </c>
      <c r="F15" s="5" t="n">
        <v>1</v>
      </c>
      <c r="G15" s="11" t="inlineStr">
        <is>
          <t>Terminé</t>
        </is>
      </c>
      <c r="H15" s="5" t="inlineStr"/>
      <c r="I15" s="5" t="inlineStr">
        <is>
          <t>PI-1</t>
        </is>
      </c>
      <c r="J15" s="5" t="inlineStr"/>
    </row>
    <row r="16">
      <c r="A16" s="5" t="inlineStr">
        <is>
          <t>E-01</t>
        </is>
      </c>
      <c r="B16" s="5" t="inlineStr">
        <is>
          <t>F-01.1</t>
        </is>
      </c>
      <c r="C16" s="5" t="inlineStr">
        <is>
          <t>Inscription et profil sponsor</t>
        </is>
      </c>
      <c r="D16" s="5" t="n">
        <v>2</v>
      </c>
      <c r="E16" s="5" t="n">
        <v>6</v>
      </c>
      <c r="F16" s="5" t="n">
        <v>1</v>
      </c>
      <c r="G16" s="5" t="inlineStr">
        <is>
          <t>Backlog</t>
        </is>
      </c>
      <c r="H16" s="5" t="inlineStr"/>
      <c r="I16" s="5" t="inlineStr">
        <is>
          <t>PI-1</t>
        </is>
      </c>
      <c r="J16" s="5" t="inlineStr">
        <is>
          <t>S2</t>
        </is>
      </c>
    </row>
    <row r="17">
      <c r="A17" s="5" t="inlineStr">
        <is>
          <t>E-01</t>
        </is>
      </c>
      <c r="B17" s="5" t="inlineStr">
        <is>
          <t>F-01.2</t>
        </is>
      </c>
      <c r="C17" s="5" t="inlineStr">
        <is>
          <t>Upload vidéo sponsor</t>
        </is>
      </c>
      <c r="D17" s="5" t="n">
        <v>2</v>
      </c>
      <c r="E17" s="5" t="n">
        <v>8</v>
      </c>
      <c r="F17" s="5" t="n">
        <v>1</v>
      </c>
      <c r="G17" s="5" t="inlineStr">
        <is>
          <t>Backlog</t>
        </is>
      </c>
      <c r="H17" s="5" t="inlineStr"/>
      <c r="I17" s="5" t="inlineStr">
        <is>
          <t>PI-1</t>
        </is>
      </c>
      <c r="J17" s="5" t="inlineStr">
        <is>
          <t>S2</t>
        </is>
      </c>
    </row>
    <row r="18">
      <c r="A18" s="5" t="inlineStr">
        <is>
          <t>E-01</t>
        </is>
      </c>
      <c r="B18" s="5" t="inlineStr">
        <is>
          <t>F-01.3</t>
        </is>
      </c>
      <c r="C18" s="5" t="inlineStr">
        <is>
          <t>Validation admin des spots</t>
        </is>
      </c>
      <c r="D18" s="5" t="n">
        <v>1</v>
      </c>
      <c r="E18" s="5" t="n">
        <v>5</v>
      </c>
      <c r="F18" s="5" t="n">
        <v>1</v>
      </c>
      <c r="G18" s="5" t="inlineStr">
        <is>
          <t>Backlog</t>
        </is>
      </c>
      <c r="H18" s="5" t="inlineStr"/>
      <c r="I18" s="5" t="inlineStr">
        <is>
          <t>PI-1</t>
        </is>
      </c>
      <c r="J18" s="5" t="inlineStr">
        <is>
          <t>S3</t>
        </is>
      </c>
    </row>
    <row r="19">
      <c r="A19" s="5" t="inlineStr">
        <is>
          <t>E-02</t>
        </is>
      </c>
      <c r="B19" s="5" t="inlineStr">
        <is>
          <t>F-02.1</t>
        </is>
      </c>
      <c r="C19" s="5" t="inlineStr">
        <is>
          <t>Algorithme de rotation équitable</t>
        </is>
      </c>
      <c r="D19" s="5" t="n">
        <v>2</v>
      </c>
      <c r="E19" s="5" t="n">
        <v>8</v>
      </c>
      <c r="F19" s="5" t="n">
        <v>1</v>
      </c>
      <c r="G19" s="5" t="inlineStr">
        <is>
          <t>Backlog</t>
        </is>
      </c>
      <c r="H19" s="5" t="inlineStr"/>
      <c r="I19" s="5" t="inlineStr">
        <is>
          <t>PI-1</t>
        </is>
      </c>
      <c r="J19" s="5" t="inlineStr">
        <is>
          <t>S1</t>
        </is>
      </c>
    </row>
    <row r="20">
      <c r="A20" s="5" t="inlineStr">
        <is>
          <t>E-02</t>
        </is>
      </c>
      <c r="B20" s="5" t="inlineStr">
        <is>
          <t>F-02.2</t>
        </is>
      </c>
      <c r="C20" s="5" t="inlineStr">
        <is>
          <t>Configuration rotation par gymnase</t>
        </is>
      </c>
      <c r="D20" s="5" t="n">
        <v>1</v>
      </c>
      <c r="E20" s="5" t="n">
        <v>3</v>
      </c>
      <c r="F20" s="5" t="n">
        <v>2</v>
      </c>
      <c r="G20" s="5" t="inlineStr">
        <is>
          <t>Backlog</t>
        </is>
      </c>
      <c r="H20" s="5" t="inlineStr"/>
      <c r="I20" s="5" t="inlineStr">
        <is>
          <t>PI-1</t>
        </is>
      </c>
      <c r="J20" s="5" t="inlineStr">
        <is>
          <t>S1</t>
        </is>
      </c>
    </row>
    <row r="21">
      <c r="A21" s="5" t="inlineStr">
        <is>
          <t>E-03</t>
        </is>
      </c>
      <c r="B21" s="5" t="inlineStr">
        <is>
          <t>F-03.1</t>
        </is>
      </c>
      <c r="C21" s="5" t="inlineStr">
        <is>
          <t>Dashboard impressions sponsor</t>
        </is>
      </c>
      <c r="D21" s="5" t="n">
        <v>2</v>
      </c>
      <c r="E21" s="5" t="n">
        <v>10</v>
      </c>
      <c r="F21" s="5" t="n">
        <v>1</v>
      </c>
      <c r="G21" s="5" t="inlineStr">
        <is>
          <t>Backlog</t>
        </is>
      </c>
      <c r="H21" s="5" t="inlineStr"/>
      <c r="I21" s="5" t="inlineStr">
        <is>
          <t>PI-1</t>
        </is>
      </c>
      <c r="J21" s="5" t="inlineStr">
        <is>
          <t>S1</t>
        </is>
      </c>
    </row>
    <row r="22">
      <c r="A22" s="5" t="inlineStr">
        <is>
          <t>E-03</t>
        </is>
      </c>
      <c r="B22" s="5" t="inlineStr">
        <is>
          <t>F-03.2</t>
        </is>
      </c>
      <c r="C22" s="5" t="inlineStr">
        <is>
          <t>Export rapport PDF/CSV</t>
        </is>
      </c>
      <c r="D22" s="5" t="n">
        <v>2</v>
      </c>
      <c r="E22" s="5" t="n">
        <v>8</v>
      </c>
      <c r="F22" s="5" t="n">
        <v>1</v>
      </c>
      <c r="G22" s="5" t="inlineStr">
        <is>
          <t>Backlog</t>
        </is>
      </c>
      <c r="H22" s="5" t="inlineStr"/>
      <c r="I22" s="5" t="inlineStr">
        <is>
          <t>PI-1</t>
        </is>
      </c>
      <c r="J22" s="5" t="inlineStr">
        <is>
          <t>S2-S3</t>
        </is>
      </c>
    </row>
    <row r="23">
      <c r="A23" s="5" t="inlineStr">
        <is>
          <t>E-03</t>
        </is>
      </c>
      <c r="B23" s="5" t="inlineStr">
        <is>
          <t>F-03.3</t>
        </is>
      </c>
      <c r="C23" s="5" t="inlineStr">
        <is>
          <t>Heatmap de diffusion</t>
        </is>
      </c>
      <c r="D23" s="5" t="n">
        <v>1</v>
      </c>
      <c r="E23" s="5" t="n">
        <v>5</v>
      </c>
      <c r="F23" s="5" t="n">
        <v>2</v>
      </c>
      <c r="G23" s="5" t="inlineStr">
        <is>
          <t>Backlog</t>
        </is>
      </c>
      <c r="H23" s="5" t="inlineStr"/>
      <c r="I23" s="5" t="inlineStr">
        <is>
          <t>PI-1</t>
        </is>
      </c>
      <c r="J23" s="5" t="inlineStr">
        <is>
          <t>S3</t>
        </is>
      </c>
    </row>
    <row r="24">
      <c r="A24" s="5" t="inlineStr">
        <is>
          <t>E-06</t>
        </is>
      </c>
      <c r="B24" s="5" t="inlineStr">
        <is>
          <t>F-06.1</t>
        </is>
      </c>
      <c r="C24" s="5" t="inlineStr">
        <is>
          <t>Auto-provisioning Pi</t>
        </is>
      </c>
      <c r="D24" s="5" t="n">
        <v>3</v>
      </c>
      <c r="E24" s="5" t="n">
        <v>13</v>
      </c>
      <c r="F24" s="5" t="n">
        <v>1</v>
      </c>
      <c r="G24" s="5" t="inlineStr">
        <is>
          <t>Backlog</t>
        </is>
      </c>
      <c r="H24" s="5" t="inlineStr"/>
      <c r="I24" s="5" t="inlineStr">
        <is>
          <t>PI-1</t>
        </is>
      </c>
      <c r="J24" s="5" t="inlineStr">
        <is>
          <t>S2-S3</t>
        </is>
      </c>
    </row>
    <row r="25">
      <c r="A25" s="5" t="inlineStr">
        <is>
          <t>E-06</t>
        </is>
      </c>
      <c r="B25" s="5" t="inlineStr">
        <is>
          <t>F-06.2</t>
        </is>
      </c>
      <c r="C25" s="5" t="inlineStr">
        <is>
          <t>Wizard de configuration club</t>
        </is>
      </c>
      <c r="D25" s="5" t="n">
        <v>1</v>
      </c>
      <c r="E25" s="5" t="n">
        <v>5</v>
      </c>
      <c r="F25" s="5" t="n">
        <v>1</v>
      </c>
      <c r="G25" s="5" t="inlineStr">
        <is>
          <t>Backlog</t>
        </is>
      </c>
      <c r="H25" s="5" t="inlineStr"/>
      <c r="I25" s="5" t="inlineStr">
        <is>
          <t>PI-1</t>
        </is>
      </c>
      <c r="J25" s="5" t="inlineStr">
        <is>
          <t>S3</t>
        </is>
      </c>
    </row>
    <row r="26">
      <c r="A26" s="5" t="inlineStr">
        <is>
          <t>E-05</t>
        </is>
      </c>
      <c r="B26" s="5" t="inlineStr">
        <is>
          <t>F-05.1</t>
        </is>
      </c>
      <c r="C26" s="5" t="inlineStr">
        <is>
          <t>Bibliothèque de templates motion design</t>
        </is>
      </c>
      <c r="D26" s="5" t="n">
        <v>2</v>
      </c>
      <c r="E26" s="5" t="n">
        <v>11</v>
      </c>
      <c r="F26" s="5" t="n">
        <v>1</v>
      </c>
      <c r="G26" s="5" t="inlineStr">
        <is>
          <t>Backlog</t>
        </is>
      </c>
      <c r="H26" s="5" t="inlineStr"/>
      <c r="I26" s="5" t="inlineStr">
        <is>
          <t>PI-2</t>
        </is>
      </c>
      <c r="J26" s="5" t="inlineStr">
        <is>
          <t>PI-2 S1</t>
        </is>
      </c>
    </row>
    <row r="27">
      <c r="A27" s="5" t="inlineStr">
        <is>
          <t>E-05</t>
        </is>
      </c>
      <c r="B27" s="5" t="inlineStr">
        <is>
          <t>F-05.2</t>
        </is>
      </c>
      <c r="C27" s="5" t="inlineStr">
        <is>
          <t>Upload d'animations custom (Lottie/MP4)</t>
        </is>
      </c>
      <c r="D27" s="5" t="n">
        <v>1</v>
      </c>
      <c r="E27" s="5" t="n">
        <v>5</v>
      </c>
      <c r="F27" s="5" t="n">
        <v>2</v>
      </c>
      <c r="G27" s="5" t="inlineStr">
        <is>
          <t>Backlog</t>
        </is>
      </c>
      <c r="H27" s="5" t="inlineStr"/>
      <c r="I27" s="5" t="inlineStr">
        <is>
          <t>PI-2</t>
        </is>
      </c>
      <c r="J27" s="5" t="inlineStr">
        <is>
          <t>PI-2 S2</t>
        </is>
      </c>
    </row>
    <row r="28">
      <c r="A28" s="5" t="inlineStr">
        <is>
          <t>E-11</t>
        </is>
      </c>
      <c r="B28" s="5" t="inlineStr">
        <is>
          <t>F-11.1</t>
        </is>
      </c>
      <c r="C28" s="5" t="inlineStr">
        <is>
          <t>Portail annonceur régional</t>
        </is>
      </c>
      <c r="D28" s="5" t="n">
        <v>2</v>
      </c>
      <c r="E28" s="5" t="n">
        <v>13</v>
      </c>
      <c r="F28" s="5" t="n">
        <v>1</v>
      </c>
      <c r="G28" s="5" t="inlineStr">
        <is>
          <t>Backlog</t>
        </is>
      </c>
      <c r="H28" s="5" t="inlineStr"/>
      <c r="I28" s="5" t="inlineStr">
        <is>
          <t>PI-2</t>
        </is>
      </c>
      <c r="J28" s="5" t="inlineStr">
        <is>
          <t>PI-2 S1</t>
        </is>
      </c>
    </row>
    <row r="29">
      <c r="A29" s="5" t="inlineStr">
        <is>
          <t>E-11</t>
        </is>
      </c>
      <c r="B29" s="5" t="inlineStr">
        <is>
          <t>F-11.2</t>
        </is>
      </c>
      <c r="C29" s="5" t="inlineStr">
        <is>
          <t>Reporting consolidé régie</t>
        </is>
      </c>
      <c r="D29" s="5" t="n">
        <v>1</v>
      </c>
      <c r="E29" s="5" t="n">
        <v>8</v>
      </c>
      <c r="F29" s="5" t="n">
        <v>1</v>
      </c>
      <c r="G29" s="5" t="inlineStr">
        <is>
          <t>Backlog</t>
        </is>
      </c>
      <c r="H29" s="5" t="inlineStr"/>
      <c r="I29" s="5" t="inlineStr">
        <is>
          <t>PI-2</t>
        </is>
      </c>
      <c r="J29" s="5" t="inlineStr">
        <is>
          <t>PI-2 S2</t>
        </is>
      </c>
    </row>
    <row r="30">
      <c r="A30" s="5" t="inlineStr">
        <is>
          <t>E-15</t>
        </is>
      </c>
      <c r="B30" s="5" t="inlineStr">
        <is>
          <t>F-15.1</t>
        </is>
      </c>
      <c r="C30" s="5" t="inlineStr">
        <is>
          <t>Intégration API fédérations sportives</t>
        </is>
      </c>
      <c r="D30" s="5" t="n">
        <v>2</v>
      </c>
      <c r="E30" s="5" t="n">
        <v>11</v>
      </c>
      <c r="F30" s="5" t="n">
        <v>2</v>
      </c>
      <c r="G30" s="5" t="inlineStr">
        <is>
          <t>Backlog</t>
        </is>
      </c>
      <c r="H30" s="5" t="inlineStr"/>
      <c r="I30" s="5" t="inlineStr">
        <is>
          <t>PI-2</t>
        </is>
      </c>
      <c r="J30" s="5" t="inlineStr">
        <is>
          <t>PI-2 S2</t>
        </is>
      </c>
    </row>
    <row r="31">
      <c r="A31" s="5" t="inlineStr">
        <is>
          <t>E-16</t>
        </is>
      </c>
      <c r="B31" s="5" t="inlineStr">
        <is>
          <t>F-16.1</t>
        </is>
      </c>
      <c r="C31" s="5" t="inlineStr">
        <is>
          <t>Envoi automatique mensuel</t>
        </is>
      </c>
      <c r="D31" s="5" t="n">
        <v>2</v>
      </c>
      <c r="E31" s="5" t="n">
        <v>8</v>
      </c>
      <c r="F31" s="5" t="n">
        <v>1</v>
      </c>
      <c r="G31" s="5" t="inlineStr">
        <is>
          <t>Backlog</t>
        </is>
      </c>
      <c r="H31" s="5" t="inlineStr"/>
      <c r="I31" s="5" t="inlineStr">
        <is>
          <t>PI-2</t>
        </is>
      </c>
      <c r="J31" s="5" t="inlineStr">
        <is>
          <t>PI-2 S3</t>
        </is>
      </c>
    </row>
    <row r="32">
      <c r="A32" s="5" t="inlineStr">
        <is>
          <t>E-17</t>
        </is>
      </c>
      <c r="B32" s="5" t="inlineStr">
        <is>
          <t>F-17.1</t>
        </is>
      </c>
      <c r="C32" s="5" t="inlineStr">
        <is>
          <t>Campagnes A/B Test</t>
        </is>
      </c>
      <c r="D32" s="5" t="n">
        <v>2</v>
      </c>
      <c r="E32" s="5" t="n">
        <v>13</v>
      </c>
      <c r="F32" s="5" t="n">
        <v>2</v>
      </c>
      <c r="G32" s="5" t="inlineStr">
        <is>
          <t>Backlog</t>
        </is>
      </c>
      <c r="H32" s="5" t="inlineStr"/>
      <c r="I32" s="5" t="inlineStr">
        <is>
          <t>PI-2</t>
        </is>
      </c>
      <c r="J32" s="5" t="inlineStr">
        <is>
          <t>PI-2 S3</t>
        </is>
      </c>
    </row>
    <row r="33">
      <c r="A33" s="5" t="inlineStr">
        <is>
          <t>E-12</t>
        </is>
      </c>
      <c r="B33" s="5" t="inlineStr">
        <is>
          <t>F-12.1</t>
        </is>
      </c>
      <c r="C33" s="5" t="inlineStr">
        <is>
          <t>Synchronisation master/slave</t>
        </is>
      </c>
      <c r="D33" s="5" t="n">
        <v>2</v>
      </c>
      <c r="E33" s="5" t="n">
        <v>13</v>
      </c>
      <c r="F33" s="5" t="n">
        <v>1</v>
      </c>
      <c r="G33" s="5" t="inlineStr">
        <is>
          <t>Backlog</t>
        </is>
      </c>
      <c r="H33" s="5" t="inlineStr"/>
      <c r="I33" s="5" t="inlineStr">
        <is>
          <t>PI-3</t>
        </is>
      </c>
      <c r="J33" s="5" t="inlineStr">
        <is>
          <t>PI-3 S1</t>
        </is>
      </c>
    </row>
    <row r="34">
      <c r="A34" s="5" t="inlineStr">
        <is>
          <t>E-13</t>
        </is>
      </c>
      <c r="B34" s="5" t="inlineStr">
        <is>
          <t>F-13.1</t>
        </is>
      </c>
      <c r="C34" s="5" t="inlineStr">
        <is>
          <t>Thématisation par club</t>
        </is>
      </c>
      <c r="D34" s="5" t="n">
        <v>2</v>
      </c>
      <c r="E34" s="5" t="n">
        <v>8</v>
      </c>
      <c r="F34" s="5" t="n">
        <v>1</v>
      </c>
      <c r="G34" s="5" t="inlineStr">
        <is>
          <t>Backlog</t>
        </is>
      </c>
      <c r="H34" s="5" t="inlineStr"/>
      <c r="I34" s="5" t="inlineStr">
        <is>
          <t>PI-3</t>
        </is>
      </c>
      <c r="J34" s="5" t="inlineStr">
        <is>
          <t>PI-3 S2</t>
        </is>
      </c>
    </row>
    <row r="35">
      <c r="A35" s="5" t="inlineStr">
        <is>
          <t>E-14</t>
        </is>
      </c>
      <c r="B35" s="5" t="inlineStr">
        <is>
          <t>F-14.1</t>
        </is>
      </c>
      <c r="C35" s="5" t="inlineStr">
        <is>
          <t>Gestion du fonds</t>
        </is>
      </c>
      <c r="D35" s="5" t="n">
        <v>1</v>
      </c>
      <c r="E35" s="5" t="n">
        <v>5</v>
      </c>
      <c r="F35" s="5" t="n">
        <v>2</v>
      </c>
      <c r="G35" s="5" t="inlineStr">
        <is>
          <t>Backlog</t>
        </is>
      </c>
      <c r="H35" s="5" t="inlineStr"/>
      <c r="I35" s="5" t="inlineStr">
        <is>
          <t>PI-3</t>
        </is>
      </c>
      <c r="J35" s="5" t="inlineStr">
        <is>
          <t>PI-3 S3</t>
        </is>
      </c>
    </row>
    <row r="36">
      <c r="A36" s="5" t="inlineStr">
        <is>
          <t>E-18</t>
        </is>
      </c>
      <c r="B36" s="5" t="inlineStr">
        <is>
          <t>F-18.1</t>
        </is>
      </c>
      <c r="C36" s="5" t="inlineStr">
        <is>
          <t>Audience réelle via billetterie</t>
        </is>
      </c>
      <c r="D36" s="5" t="n">
        <v>1</v>
      </c>
      <c r="E36" s="5" t="n">
        <v>8</v>
      </c>
      <c r="F36" s="5" t="n">
        <v>2</v>
      </c>
      <c r="G36" s="5" t="inlineStr">
        <is>
          <t>Backlog</t>
        </is>
      </c>
      <c r="H36" s="5" t="inlineStr"/>
      <c r="I36" s="5" t="inlineStr">
        <is>
          <t>PI-3</t>
        </is>
      </c>
      <c r="J36" s="5" t="inlineStr">
        <is>
          <t>PI-3 S2</t>
        </is>
      </c>
    </row>
    <row r="37">
      <c r="A37" s="5" t="inlineStr">
        <is>
          <t>E-19</t>
        </is>
      </c>
      <c r="B37" s="5" t="inlineStr">
        <is>
          <t>F-19.1</t>
        </is>
      </c>
      <c r="C37" s="5" t="inlineStr">
        <is>
          <t>Comptage spectateurs automatique</t>
        </is>
      </c>
      <c r="D37" s="5" t="n">
        <v>1</v>
      </c>
      <c r="E37" s="5" t="n">
        <v>13</v>
      </c>
      <c r="F37" s="5" t="n">
        <v>3</v>
      </c>
      <c r="G37" s="5" t="inlineStr">
        <is>
          <t>Backlog</t>
        </is>
      </c>
      <c r="H37" s="5" t="inlineStr"/>
      <c r="I37" s="5" t="inlineStr">
        <is>
          <t>PI-3</t>
        </is>
      </c>
      <c r="J37" s="5" t="inlineStr">
        <is>
          <t>PI-3 S3</t>
        </is>
      </c>
    </row>
    <row r="38">
      <c r="A38" s="5" t="inlineStr">
        <is>
          <t>E-20</t>
        </is>
      </c>
      <c r="B38" s="5" t="inlineStr">
        <is>
          <t>F-20.1</t>
        </is>
      </c>
      <c r="C38" s="5" t="inlineStr">
        <is>
          <t>Prédictions engagement et uptime</t>
        </is>
      </c>
      <c r="D38" s="5" t="n">
        <v>1</v>
      </c>
      <c r="E38" s="5" t="n">
        <v>13</v>
      </c>
      <c r="F38" s="5" t="n">
        <v>3</v>
      </c>
      <c r="G38" s="5" t="inlineStr">
        <is>
          <t>Backlog</t>
        </is>
      </c>
      <c r="H38" s="5" t="inlineStr"/>
      <c r="I38" s="5" t="inlineStr">
        <is>
          <t>PI-3</t>
        </is>
      </c>
      <c r="J38" s="5" t="inlineStr">
        <is>
          <t>PI-3 S3</t>
        </is>
      </c>
    </row>
    <row r="39">
      <c r="A39" s="5" t="inlineStr">
        <is>
          <t>E-21</t>
        </is>
      </c>
      <c r="B39" s="5" t="inlineStr">
        <is>
          <t>F-21.1</t>
        </is>
      </c>
      <c r="C39" s="5" t="inlineStr">
        <is>
          <t>API OAuth 2.0 pour partenaires</t>
        </is>
      </c>
      <c r="D39" s="5" t="n">
        <v>1</v>
      </c>
      <c r="E39" s="5" t="n">
        <v>13</v>
      </c>
      <c r="F39" s="5" t="n">
        <v>3</v>
      </c>
      <c r="G39" s="5" t="inlineStr">
        <is>
          <t>Backlog</t>
        </is>
      </c>
      <c r="H39" s="5" t="inlineStr"/>
      <c r="I39" s="5" t="inlineStr">
        <is>
          <t>PI-3</t>
        </is>
      </c>
      <c r="J39" s="5" t="inlineStr">
        <is>
          <t>PI-3 S3</t>
        </is>
      </c>
    </row>
    <row r="40"/>
    <row r="41"/>
    <row r="42">
      <c r="A42" s="2" t="inlineStr">
        <is>
          <t>SUMMARY</t>
        </is>
      </c>
    </row>
    <row r="43">
      <c r="A43" t="inlineStr">
        <is>
          <t>Total SP PI-1</t>
        </is>
      </c>
      <c r="E43">
        <f>SUMIF(I:I,"PI-1",E:E)</f>
        <v/>
      </c>
    </row>
    <row r="44">
      <c r="A44" t="inlineStr">
        <is>
          <t>Total SP PI-2</t>
        </is>
      </c>
      <c r="E44">
        <f>SUMIF(I:I,"PI-2",E:E)</f>
        <v/>
      </c>
    </row>
    <row r="45">
      <c r="A45" t="inlineStr">
        <is>
          <t>Total SP PI-3</t>
        </is>
      </c>
      <c r="E45">
        <f>SUMIF(I:I,"PI-3",E:E)</f>
        <v/>
      </c>
    </row>
    <row r="46"/>
    <row r="47">
      <c r="A47" t="inlineStr">
        <is>
          <t>Status Count</t>
        </is>
      </c>
    </row>
    <row r="48">
      <c r="A48" t="inlineStr">
        <is>
          <t>Terminé</t>
        </is>
      </c>
      <c r="B48">
        <f>COUNTIF(G:G,"Terminé")</f>
        <v/>
      </c>
    </row>
    <row r="49">
      <c r="A49" t="inlineStr">
        <is>
          <t>Backlog</t>
        </is>
      </c>
      <c r="B49">
        <f>COUNTIF(G:G,"Backlog")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9" customWidth="1" min="1" max="1"/>
    <col width="48" customWidth="1" min="2" max="2"/>
    <col width="16" customWidth="1" min="3" max="3"/>
    <col width="10" customWidth="1" min="4" max="4"/>
    <col width="38" customWidth="1" min="5" max="5"/>
  </cols>
  <sheetData>
    <row r="1">
      <c r="A1" s="10" t="inlineStr">
        <is>
          <t>← Dashboard</t>
        </is>
      </c>
    </row>
    <row r="2"/>
    <row r="3">
      <c r="A3" t="inlineStr">
        <is>
          <t>BV Summary</t>
        </is>
      </c>
    </row>
    <row r="4">
      <c r="A4" s="2" t="inlineStr">
        <is>
          <t>COMMITTED OBJECTIVES (PI-1)</t>
        </is>
      </c>
    </row>
    <row r="5">
      <c r="A5" s="8" t="inlineStr">
        <is>
          <t>Objective</t>
        </is>
      </c>
      <c r="B5" s="8" t="inlineStr">
        <is>
          <t>Description</t>
        </is>
      </c>
      <c r="C5" s="8" t="inlineStr">
        <is>
          <t>Business Value</t>
        </is>
      </c>
      <c r="D5" s="8" t="inlineStr">
        <is>
          <t>Status</t>
        </is>
      </c>
      <c r="E5" s="8" t="inlineStr">
        <is>
          <t>Notes</t>
        </is>
      </c>
    </row>
    <row r="6">
      <c r="A6" s="5" t="inlineStr">
        <is>
          <t>O-PI1-1</t>
        </is>
      </c>
      <c r="B6" s="5" t="inlineStr">
        <is>
          <t>Lancer le portail sponsor self-service</t>
        </is>
      </c>
      <c r="C6" s="5" t="n">
        <v>9</v>
      </c>
      <c r="D6" s="5" t="inlineStr">
        <is>
          <t>Backlog</t>
        </is>
      </c>
      <c r="E6" s="5" t="inlineStr">
        <is>
          <t>E-01: F-01.1, F-01.2, F-01.3 — 19 SP</t>
        </is>
      </c>
    </row>
    <row r="7">
      <c r="A7" s="5" t="inlineStr">
        <is>
          <t>O-PI1-2</t>
        </is>
      </c>
      <c r="B7" s="5" t="inlineStr">
        <is>
          <t>Livrer les analytics sponsors avec rapport PDF</t>
        </is>
      </c>
      <c r="C7" s="5" t="n">
        <v>10</v>
      </c>
      <c r="D7" s="5" t="inlineStr">
        <is>
          <t>Backlog</t>
        </is>
      </c>
      <c r="E7" s="5" t="inlineStr">
        <is>
          <t>E-03: F-03.1, F-03.2, F-03.3 — 23 SP</t>
        </is>
      </c>
    </row>
    <row r="8">
      <c r="A8" s="5" t="inlineStr">
        <is>
          <t>O-PI1-3</t>
        </is>
      </c>
      <c r="B8" s="5" t="inlineStr">
        <is>
          <t>Implémenter la rotation sponsor équitable</t>
        </is>
      </c>
      <c r="C8" s="5" t="n">
        <v>8</v>
      </c>
      <c r="D8" s="5" t="inlineStr">
        <is>
          <t>Backlog</t>
        </is>
      </c>
      <c r="E8" s="5" t="inlineStr">
        <is>
          <t>E-02: F-02.1, F-02.2 — 11 SP</t>
        </is>
      </c>
    </row>
    <row r="9">
      <c r="A9" s="5" t="inlineStr">
        <is>
          <t>O-PI1-4</t>
        </is>
      </c>
      <c r="B9" s="5" t="inlineStr">
        <is>
          <t>Créer le wizard onboarding club</t>
        </is>
      </c>
      <c r="C9" s="5" t="n">
        <v>10</v>
      </c>
      <c r="D9" s="5" t="inlineStr">
        <is>
          <t>Backlog</t>
        </is>
      </c>
      <c r="E9" s="5" t="inlineStr">
        <is>
          <t>E-06: F-06.1, F-06.2 — 18 SP</t>
        </is>
      </c>
    </row>
    <row r="10">
      <c r="A10" t="inlineStr">
        <is>
          <t>EXTENDED GOALS</t>
        </is>
      </c>
    </row>
    <row r="11">
      <c r="A11" s="9" t="inlineStr">
        <is>
          <t>Objective</t>
        </is>
      </c>
      <c r="B11" s="9" t="inlineStr">
        <is>
          <t>Description</t>
        </is>
      </c>
      <c r="C11" s="9" t="inlineStr">
        <is>
          <t>Business Value</t>
        </is>
      </c>
      <c r="D11" s="9" t="inlineStr">
        <is>
          <t>Status</t>
        </is>
      </c>
      <c r="E11" s="9" t="inlineStr">
        <is>
          <t>Notes</t>
        </is>
      </c>
    </row>
    <row r="12">
      <c r="A12" s="5" t="inlineStr">
        <is>
          <t>O-PI1-5</t>
        </is>
      </c>
      <c r="B12" s="5" t="inlineStr">
        <is>
          <t>Carte de la flotte Leaflet</t>
        </is>
      </c>
      <c r="C12" s="5" t="n">
        <v>4</v>
      </c>
      <c r="D12" s="5" t="inlineStr">
        <is>
          <t>Backlog</t>
        </is>
      </c>
      <c r="E12" s="5" t="inlineStr">
        <is>
          <t>E-10.1 — 5 SP</t>
        </is>
      </c>
    </row>
    <row r="13">
      <c r="A13" s="5" t="inlineStr">
        <is>
          <t>O-PI1-6</t>
        </is>
      </c>
      <c r="B13" s="5" t="inlineStr">
        <is>
          <t>Support clé USB WiFi externe</t>
        </is>
      </c>
      <c r="C13" s="5" t="n">
        <v>3</v>
      </c>
      <c r="D13" s="5" t="inlineStr">
        <is>
          <t>Backlog</t>
        </is>
      </c>
      <c r="E13" s="5" t="inlineStr">
        <is>
          <t>E-07.3 — 3 SP</t>
        </is>
      </c>
    </row>
    <row r="14"/>
    <row r="15"/>
    <row r="16">
      <c r="A16" s="2" t="inlineStr">
        <is>
          <t>PI Summary</t>
        </is>
      </c>
    </row>
    <row r="17">
      <c r="A17" t="inlineStr">
        <is>
          <t>Total Committed BV</t>
        </is>
      </c>
      <c r="B17" t="n">
        <v>37</v>
      </c>
    </row>
    <row r="18">
      <c r="A18" t="inlineStr">
        <is>
          <t>Total Extended BV</t>
        </is>
      </c>
      <c r="B18" t="n">
        <v>7</v>
      </c>
    </row>
    <row r="19">
      <c r="A19" t="inlineStr">
        <is>
          <t>Total BV</t>
        </is>
      </c>
      <c r="B19" t="n">
        <v>44</v>
      </c>
    </row>
    <row r="20">
      <c r="A20" t="inlineStr">
        <is>
          <t>Predictability target</t>
        </is>
      </c>
      <c r="B20" t="inlineStr">
        <is>
          <t>&gt; 80%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1" customWidth="1" min="1" max="1"/>
    <col width="10" customWidth="1" min="2" max="2"/>
    <col width="50" customWidth="1" min="3" max="3"/>
    <col width="14" customWidth="1" min="4" max="4"/>
    <col width="12" customWidth="1" min="5" max="5"/>
    <col width="19" customWidth="1" min="6" max="6"/>
    <col width="26" customWidth="1" min="7" max="7"/>
  </cols>
  <sheetData>
    <row r="1">
      <c r="A1" s="10" t="inlineStr">
        <is>
          <t>← Dashboard</t>
        </is>
      </c>
    </row>
    <row r="2">
      <c r="A2" s="4" t="inlineStr">
        <is>
          <t>Sprint</t>
        </is>
      </c>
      <c r="B2" s="4" t="inlineStr">
        <is>
          <t>PI</t>
        </is>
      </c>
      <c r="C2" s="4" t="inlineStr">
        <is>
          <t>SP Planned</t>
        </is>
      </c>
      <c r="D2" s="4" t="inlineStr">
        <is>
          <t>SP Completed</t>
        </is>
      </c>
      <c r="E2" s="4" t="inlineStr">
        <is>
          <t>Carry-over</t>
        </is>
      </c>
      <c r="F2" s="4" t="inlineStr">
        <is>
          <t>Velocity %</t>
        </is>
      </c>
      <c r="G2" s="4" t="inlineStr">
        <is>
          <t>Notes</t>
        </is>
      </c>
    </row>
    <row r="3">
      <c r="A3" s="5" t="inlineStr">
        <is>
          <t>S1</t>
        </is>
      </c>
      <c r="B3" s="5" t="inlineStr">
        <is>
          <t>PI-1</t>
        </is>
      </c>
      <c r="C3" s="5">
        <f>SUMIF('Features &amp; US'!J:J,"S1",'Features &amp; US'!E:E)</f>
        <v/>
      </c>
      <c r="D3" s="5" t="n">
        <v>24</v>
      </c>
      <c r="E3" s="5" t="n">
        <v>3</v>
      </c>
      <c r="F3" s="5">
        <f>IFERROR(D3/C3,0)</f>
        <v/>
      </c>
      <c r="G3" s="5" t="inlineStr">
        <is>
          <t>First sprint, onboarding</t>
        </is>
      </c>
    </row>
    <row r="4">
      <c r="A4" s="5" t="inlineStr">
        <is>
          <t>S2</t>
        </is>
      </c>
      <c r="B4" s="5" t="inlineStr">
        <is>
          <t>PI-1</t>
        </is>
      </c>
      <c r="C4" s="5">
        <f>SUMIF('Features &amp; US'!J:J,"S2",'Features &amp; US'!E:E)</f>
        <v/>
      </c>
      <c r="D4" s="5" t="n">
        <v>27</v>
      </c>
      <c r="E4" s="5" t="n">
        <v>0</v>
      </c>
      <c r="F4" s="5">
        <f>IFERROR(D4/C4,0)</f>
        <v/>
      </c>
      <c r="G4" s="5" t="inlineStr">
        <is>
          <t>Peak velocity</t>
        </is>
      </c>
    </row>
    <row r="5">
      <c r="A5" s="5" t="inlineStr">
        <is>
          <t>S3</t>
        </is>
      </c>
      <c r="B5" s="5" t="inlineStr">
        <is>
          <t>PI-1</t>
        </is>
      </c>
      <c r="C5" s="5">
        <f>SUMIF('Features &amp; US'!J:J,"S3",'Features &amp; US'!E:E)</f>
        <v/>
      </c>
      <c r="D5" s="5" t="n">
        <v>25</v>
      </c>
      <c r="E5" s="5" t="n">
        <v>0</v>
      </c>
      <c r="F5" s="5">
        <f>IFERROR(D5/C5,0)</f>
        <v/>
      </c>
      <c r="G5" s="5" t="inlineStr">
        <is>
          <t>Stable performance</t>
        </is>
      </c>
    </row>
    <row r="6"/>
    <row r="7"/>
    <row r="8"/>
    <row r="9"/>
    <row r="10">
      <c r="A10" s="2" t="inlineStr">
        <is>
          <t>Team Capacity</t>
        </is>
      </c>
    </row>
    <row r="11">
      <c r="A11" s="13" t="inlineStr">
        <is>
          <t>Role</t>
        </is>
      </c>
      <c r="B11" s="13" t="inlineStr"/>
      <c r="C11" s="13" t="inlineStr">
        <is>
          <t>Capacity (SP/sprint)</t>
        </is>
      </c>
      <c r="D11" s="13" t="inlineStr">
        <is>
          <t>Specialty</t>
        </is>
      </c>
    </row>
    <row r="12">
      <c r="A12" t="inlineStr">
        <is>
          <t>Solo Dev (Gwenvael)</t>
        </is>
      </c>
      <c r="C12" t="n">
        <v>27</v>
      </c>
      <c r="D12" t="inlineStr">
        <is>
          <t>Full-stack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11" customWidth="1" min="3" max="3"/>
    <col width="13" customWidth="1" min="4" max="4"/>
    <col width="10" customWidth="1" min="5" max="5"/>
    <col width="18" customWidth="1" min="6" max="6"/>
    <col width="10" customWidth="1" min="7" max="7"/>
  </cols>
  <sheetData>
    <row r="1">
      <c r="A1" s="10" t="inlineStr">
        <is>
          <t>← Dashboard</t>
        </is>
      </c>
    </row>
    <row r="2"/>
    <row r="3">
      <c r="A3" s="7" t="inlineStr">
        <is>
          <t>Risk ID</t>
        </is>
      </c>
      <c r="B3" s="7" t="inlineStr">
        <is>
          <t>Description</t>
        </is>
      </c>
      <c r="C3" s="7" t="inlineStr">
        <is>
          <t>Status</t>
        </is>
      </c>
      <c r="D3" s="7" t="inlineStr">
        <is>
          <t>Probability</t>
        </is>
      </c>
      <c r="E3" s="7" t="inlineStr">
        <is>
          <t>Impact</t>
        </is>
      </c>
      <c r="F3" s="7" t="inlineStr">
        <is>
          <t>Owner</t>
        </is>
      </c>
      <c r="G3" s="7" t="inlineStr">
        <is>
          <t>Deadline</t>
        </is>
      </c>
    </row>
    <row r="4">
      <c r="A4" s="5" t="inlineStr">
        <is>
          <t>R-01</t>
        </is>
      </c>
      <c r="B4" s="5" t="inlineStr">
        <is>
          <t>Capacité solo-dev insuffisante pour 79 SP</t>
        </is>
      </c>
      <c r="C4" s="12" t="inlineStr">
        <is>
          <t>Accepted</t>
        </is>
      </c>
      <c r="D4" s="5" t="inlineStr">
        <is>
          <t>Haute</t>
        </is>
      </c>
      <c r="E4" s="5" t="inlineStr">
        <is>
          <t>Moyen</t>
        </is>
      </c>
      <c r="F4" s="5" t="inlineStr">
        <is>
          <t>Gwenvael</t>
        </is>
      </c>
      <c r="G4" s="5" t="inlineStr"/>
    </row>
    <row r="5">
      <c r="A5" s="5" t="inlineStr">
        <is>
          <t>R-02</t>
        </is>
      </c>
      <c r="B5" s="5" t="inlineStr">
        <is>
          <t>WiFi gymnase instable pendant les tests</t>
        </is>
      </c>
      <c r="C5" s="11" t="inlineStr">
        <is>
          <t>Mitigated</t>
        </is>
      </c>
      <c r="D5" s="5" t="inlineStr">
        <is>
          <t>Haute</t>
        </is>
      </c>
      <c r="E5" s="5" t="inlineStr">
        <is>
          <t>Moyen</t>
        </is>
      </c>
      <c r="F5" s="5" t="inlineStr">
        <is>
          <t>Gwenvael</t>
        </is>
      </c>
      <c r="G5" s="5" t="inlineStr"/>
    </row>
    <row r="6">
      <c r="A6" s="5" t="inlineStr">
        <is>
          <t>R-03</t>
        </is>
      </c>
      <c r="B6" s="5" t="inlineStr">
        <is>
          <t>Aucun sponsor inscrit pour valider le portail</t>
        </is>
      </c>
      <c r="C6" s="14" t="inlineStr">
        <is>
          <t>Owned</t>
        </is>
      </c>
      <c r="D6" s="5" t="inlineStr">
        <is>
          <t>Moyenne</t>
        </is>
      </c>
      <c r="E6" s="5" t="inlineStr">
        <is>
          <t>Élevé</t>
        </is>
      </c>
      <c r="F6" s="5" t="inlineStr">
        <is>
          <t>Gwenvael + Gabin</t>
        </is>
      </c>
      <c r="G6" s="5" t="inlineStr"/>
    </row>
    <row r="7">
      <c r="A7" s="5" t="inlineStr">
        <is>
          <t>R-04</t>
        </is>
      </c>
      <c r="B7" s="5" t="inlineStr">
        <is>
          <t>Dépendance Supabase pour le scaling</t>
        </is>
      </c>
      <c r="C7" s="12" t="inlineStr">
        <is>
          <t>Accepted</t>
        </is>
      </c>
      <c r="D7" s="5" t="inlineStr">
        <is>
          <t>Basse</t>
        </is>
      </c>
      <c r="E7" s="5" t="inlineStr">
        <is>
          <t>Élevé</t>
        </is>
      </c>
      <c r="F7" s="5" t="inlineStr">
        <is>
          <t>Gwenvael</t>
        </is>
      </c>
      <c r="G7" s="5" t="inlineStr"/>
    </row>
    <row r="8">
      <c r="A8" s="5" t="inlineStr">
        <is>
          <t>R-05</t>
        </is>
      </c>
      <c r="B8" s="5" t="inlineStr">
        <is>
          <t>Sécurité des api_keys Pi</t>
        </is>
      </c>
      <c r="C8" s="11" t="inlineStr">
        <is>
          <t>Mitigated</t>
        </is>
      </c>
      <c r="D8" s="5" t="inlineStr">
        <is>
          <t>Basse</t>
        </is>
      </c>
      <c r="E8" s="5" t="inlineStr">
        <is>
          <t>Critique</t>
        </is>
      </c>
      <c r="F8" s="5" t="inlineStr">
        <is>
          <t>Gwenvael</t>
        </is>
      </c>
      <c r="G8" s="5" t="inlineStr"/>
    </row>
    <row r="9">
      <c r="A9" s="5" t="inlineStr">
        <is>
          <t>R-06</t>
        </is>
      </c>
      <c r="B9" s="5" t="inlineStr">
        <is>
          <t>Retard onboarding automatisé bloque le scaling</t>
        </is>
      </c>
      <c r="C9" s="14" t="inlineStr">
        <is>
          <t>Owned</t>
        </is>
      </c>
      <c r="D9" s="5" t="inlineStr">
        <is>
          <t>Moyenne</t>
        </is>
      </c>
      <c r="E9" s="5" t="inlineStr">
        <is>
          <t>Critique</t>
        </is>
      </c>
      <c r="F9" s="5" t="inlineStr">
        <is>
          <t>Gwenvael</t>
        </is>
      </c>
      <c r="G9" s="5" t="inlineStr"/>
    </row>
    <row r="10">
      <c r="A10" s="5" t="inlineStr">
        <is>
          <t>R-07</t>
        </is>
      </c>
      <c r="B10" s="5" t="inlineStr">
        <is>
          <t>Hébergement FTP Hostinger comme point de défaillance</t>
        </is>
      </c>
      <c r="C10" s="12" t="inlineStr">
        <is>
          <t>Accepted</t>
        </is>
      </c>
      <c r="D10" s="5" t="inlineStr">
        <is>
          <t>Basse</t>
        </is>
      </c>
      <c r="E10" s="5" t="inlineStr">
        <is>
          <t>Élevé</t>
        </is>
      </c>
      <c r="F10" s="5" t="inlineStr">
        <is>
          <t>Gwenvael</t>
        </is>
      </c>
      <c r="G10" s="5" t="inlineStr"/>
    </row>
    <row r="11">
      <c r="A11" s="5" t="inlineStr">
        <is>
          <t>R-08</t>
        </is>
      </c>
      <c r="B11" s="5" t="inlineStr">
        <is>
          <t>Absence de tests E2E sur le parcours sponsor</t>
        </is>
      </c>
      <c r="C11" s="14" t="inlineStr">
        <is>
          <t>Owned</t>
        </is>
      </c>
      <c r="D11" s="5" t="inlineStr">
        <is>
          <t>Haute</t>
        </is>
      </c>
      <c r="E11" s="5" t="inlineStr">
        <is>
          <t>Moyen</t>
        </is>
      </c>
      <c r="F11" s="5" t="inlineStr">
        <is>
          <t>Gwenvael</t>
        </is>
      </c>
      <c r="G11" s="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0" customWidth="1" min="3" max="3"/>
    <col width="19" customWidth="1" min="4" max="4"/>
    <col width="13" customWidth="1" min="5" max="5"/>
  </cols>
  <sheetData>
    <row r="1">
      <c r="A1" s="1" t="inlineStr">
        <is>
          <t>Flow Metrics by Value Stream</t>
        </is>
      </c>
    </row>
    <row r="2"/>
    <row r="3">
      <c r="A3" s="15" t="inlineStr">
        <is>
          <t>Value Stream</t>
        </is>
      </c>
      <c r="B3" s="15" t="inlineStr">
        <is>
          <t>WIP Limit</t>
        </is>
      </c>
      <c r="C3" s="15" t="inlineStr">
        <is>
          <t>Throughput (US/week)</t>
        </is>
      </c>
      <c r="D3" s="15" t="inlineStr">
        <is>
          <t>Cycle Time (days)</t>
        </is>
      </c>
      <c r="E3" s="15" t="inlineStr">
        <is>
          <t>Flow Health</t>
        </is>
      </c>
    </row>
    <row r="4">
      <c r="A4" s="5" t="inlineStr">
        <is>
          <t>OVS-1: Club to Screen</t>
        </is>
      </c>
      <c r="B4" s="5" t="n">
        <v>3</v>
      </c>
      <c r="C4" s="5" t="inlineStr">
        <is>
          <t>à mesurer</t>
        </is>
      </c>
      <c r="D4" s="5" t="inlineStr">
        <is>
          <t>&lt; 10</t>
        </is>
      </c>
      <c r="E4" s="5" t="inlineStr">
        <is>
          <t>—</t>
        </is>
      </c>
    </row>
    <row r="5">
      <c r="A5" s="5" t="inlineStr">
        <is>
          <t>OVS-2: Sponsor Impression</t>
        </is>
      </c>
      <c r="B5" s="5" t="n">
        <v>4</v>
      </c>
      <c r="C5" s="5" t="inlineStr">
        <is>
          <t>à mesurer</t>
        </is>
      </c>
      <c r="D5" s="5" t="inlineStr">
        <is>
          <t>&lt; 10</t>
        </is>
      </c>
      <c r="E5" s="5" t="inlineStr">
        <is>
          <t>—</t>
        </is>
      </c>
    </row>
    <row r="6">
      <c r="A6" s="5" t="inlineStr">
        <is>
          <t>DVS-1: Platform</t>
        </is>
      </c>
      <c r="B6" s="5" t="n">
        <v>5</v>
      </c>
      <c r="C6" s="5" t="inlineStr">
        <is>
          <t>à mesurer</t>
        </is>
      </c>
      <c r="D6" s="5" t="inlineStr">
        <is>
          <t>&lt; 10</t>
        </is>
      </c>
      <c r="E6" s="5" t="inlineStr">
        <is>
          <t>—</t>
        </is>
      </c>
    </row>
    <row r="7"/>
    <row r="8">
      <c r="A8" s="2" t="inlineStr">
        <is>
          <t>Flow Distribution Cible PI-1</t>
        </is>
      </c>
    </row>
    <row r="9">
      <c r="A9" s="13" t="inlineStr">
        <is>
          <t>Type</t>
        </is>
      </c>
      <c r="B9" s="13" t="inlineStr">
        <is>
          <t>Allocation %</t>
        </is>
      </c>
    </row>
    <row r="10">
      <c r="A10" s="5" t="inlineStr">
        <is>
          <t>Features</t>
        </is>
      </c>
      <c r="B10" s="5" t="n">
        <v>60</v>
      </c>
    </row>
    <row r="11">
      <c r="A11" s="5" t="inlineStr">
        <is>
          <t>Enablers</t>
        </is>
      </c>
      <c r="B11" s="5" t="n">
        <v>15</v>
      </c>
    </row>
    <row r="12">
      <c r="A12" s="5" t="inlineStr">
        <is>
          <t>Defects</t>
        </is>
      </c>
      <c r="B12" s="5" t="n">
        <v>15</v>
      </c>
    </row>
    <row r="13">
      <c r="A13" s="5" t="inlineStr">
        <is>
          <t>Debt</t>
        </is>
      </c>
      <c r="B13" s="5" t="n">
        <v>10</v>
      </c>
    </row>
    <row r="14"/>
    <row r="15"/>
    <row r="16">
      <c r="A16" s="2" t="inlineStr">
        <is>
          <t>WIP Limits</t>
        </is>
      </c>
    </row>
    <row r="17">
      <c r="A17" s="13" t="inlineStr">
        <is>
          <t>Colonne</t>
        </is>
      </c>
      <c r="B17" s="13" t="inlineStr">
        <is>
          <t>WIP Limit</t>
        </is>
      </c>
      <c r="C17" s="13" t="inlineStr">
        <is>
          <t>Justification</t>
        </is>
      </c>
    </row>
    <row r="18">
      <c r="A18" s="5" t="inlineStr">
        <is>
          <t>Analysis</t>
        </is>
      </c>
      <c r="B18" s="5" t="n">
        <v>2</v>
      </c>
      <c r="C18" s="5" t="inlineStr">
        <is>
          <t>Solo dev → limiter le multitasking</t>
        </is>
      </c>
    </row>
    <row r="19">
      <c r="A19" s="5" t="inlineStr">
        <is>
          <t>Dev</t>
        </is>
      </c>
      <c r="B19" s="5" t="n">
        <v>3</v>
      </c>
      <c r="C19" s="5" t="inlineStr">
        <is>
          <t>Max 3 US en parallèle</t>
        </is>
      </c>
    </row>
    <row r="20">
      <c r="A20" s="5" t="inlineStr">
        <is>
          <t>Review &amp; Test</t>
        </is>
      </c>
      <c r="B20" s="5" t="n">
        <v>2</v>
      </c>
      <c r="C20" s="5" t="inlineStr">
        <is>
          <t>Code review solo → auto-review + tests</t>
        </is>
      </c>
    </row>
    <row r="21">
      <c r="A21" s="5" t="inlineStr">
        <is>
          <t>Total WIP</t>
        </is>
      </c>
      <c r="B21" s="5" t="n">
        <v>5</v>
      </c>
      <c r="C21" s="5" t="inlineStr">
        <is>
          <t>Solo dev : 5 items max en cours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0"/>
  <sheetViews>
    <sheetView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0" t="inlineStr">
        <is>
          <t>← Dashboard</t>
        </is>
      </c>
    </row>
    <row r="2">
      <c r="A2" t="inlineStr">
        <is>
          <t>Source: implemented-backlog-import.csv</t>
        </is>
      </c>
    </row>
    <row r="3"/>
    <row r="4">
      <c r="A4" s="13" t="inlineStr">
        <is>
          <t>Name</t>
        </is>
      </c>
      <c r="B4" s="13" t="inlineStr">
        <is>
          <t>Code</t>
        </is>
      </c>
      <c r="C4" s="13" t="inlineStr">
        <is>
          <t>Domaine</t>
        </is>
      </c>
      <c r="D4" s="13" t="inlineStr">
        <is>
          <t>Statut</t>
        </is>
      </c>
      <c r="E4" s="13" t="inlineStr">
        <is>
          <t>Fichiers clés</t>
        </is>
      </c>
      <c r="F4" s="13" t="inlineStr">
        <is>
          <t>Version/Date</t>
        </is>
      </c>
    </row>
    <row r="5">
      <c r="A5" s="6" t="inlineStr">
        <is>
          <t>Authentification JWT (HttpOnly cookies + Bearer)</t>
        </is>
      </c>
      <c r="B5" s="6" t="inlineStr">
        <is>
          <t>IMP-SEC-01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auth.controller.ts, authentication.service.ts</t>
        </is>
      </c>
      <c r="F5" s="6" t="inlineStr">
        <is>
          <t>Déc 2025</t>
        </is>
      </c>
    </row>
    <row r="6">
      <c r="A6" s="6" t="inlineStr">
        <is>
          <t>MFA / 2FA (TOTP avec QR code)</t>
        </is>
      </c>
      <c r="B6" s="6" t="inlineStr">
        <is>
          <t>IMP-SEC-02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mfa.service.ts, mfa.routes.ts</t>
        </is>
      </c>
      <c r="F6" s="6" t="inlineStr">
        <is>
          <t>Déc 2025</t>
        </is>
      </c>
    </row>
    <row r="7">
      <c r="A7" s="6" t="inlineStr">
        <is>
          <t>Réinitialisation mot de passe (token 24h + email)</t>
        </is>
      </c>
      <c r="B7" s="6" t="inlineStr">
        <is>
          <t>IMP-SEC-03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password-reset.service.ts</t>
        </is>
      </c>
      <c r="F7" s="6" t="inlineStr">
        <is>
          <t>Déc 2025</t>
        </is>
      </c>
    </row>
    <row r="8">
      <c r="A8" s="6" t="inlineStr">
        <is>
          <t>Journalisation d'audit GDPR</t>
        </is>
      </c>
      <c r="B8" s="6" t="inlineStr">
        <is>
          <t>IMP-SEC-04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audit.service.ts, audit.routes.ts</t>
        </is>
      </c>
      <c r="F8" s="6" t="inlineStr">
        <is>
          <t>Déc 2025</t>
        </is>
      </c>
    </row>
    <row r="9">
      <c r="A9" s="6" t="inlineStr">
        <is>
          <t>Sécurité niveau ligne (isolation multi-tenant PostgreSQL)</t>
        </is>
      </c>
      <c r="B9" s="6" t="inlineStr">
        <is>
          <t>IMP-SEC-05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00-create-rls-functions.sql, enable-row-level-security.sql</t>
        </is>
      </c>
      <c r="F9" s="6" t="inlineStr">
        <is>
          <t>Déc 2025</t>
        </is>
      </c>
    </row>
    <row r="10">
      <c r="A10" s="6" t="inlineStr">
        <is>
          <t>CORS fermé par défaut en production</t>
        </is>
      </c>
      <c r="B10" s="6" t="inlineStr">
        <is>
          <t>IMP-SEC-06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server.ts</t>
        </is>
      </c>
      <c r="F10" s="6" t="inlineStr">
        <is>
          <t>Déc 2025</t>
        </is>
      </c>
    </row>
    <row r="11">
      <c r="A11" s="6" t="inlineStr">
        <is>
          <t>Auth admin Raspberry (cookies session + mot de passe initial)</t>
        </is>
      </c>
      <c r="B11" s="6" t="inlineStr">
        <is>
          <t>IMP-SEC-07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admin-server.js, auth-config.json</t>
        </is>
      </c>
      <c r="F11" s="6" t="inlineStr">
        <is>
          <t>Déc 2025</t>
        </is>
      </c>
    </row>
    <row r="12">
      <c r="A12" s="6" t="inlineStr">
        <is>
          <t>Suppression mot de passe en dur</t>
        </is>
      </c>
      <c r="B12" s="6" t="inlineStr">
        <is>
          <t>IMP-SEC-08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-</t>
        </is>
      </c>
      <c r="F12" s="6" t="inlineStr">
        <is>
          <t>Déc 2025</t>
        </is>
      </c>
    </row>
    <row r="13">
      <c r="A13" s="6" t="inlineStr">
        <is>
          <t>GDPR self-service (Art. 17 droit à l'effacement + Art. 20 portabilité)</t>
        </is>
      </c>
      <c r="B13" s="6" t="inlineStr">
        <is>
          <t>IMP-SEC-09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gdpr.service.ts</t>
        </is>
      </c>
      <c r="F13" s="6" t="inlineStr">
        <is>
          <t>Déc 2025</t>
        </is>
      </c>
    </row>
    <row r="14">
      <c r="A14" s="6" t="inlineStr">
        <is>
          <t>Sauvegardes chiffrées AES-256-GCM avec PBKDF2</t>
        </is>
      </c>
      <c r="B14" s="6" t="inlineStr">
        <is>
          <t>IMP-SEC-10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backup-encryption.service.ts</t>
        </is>
      </c>
      <c r="F14" s="6" t="inlineStr">
        <is>
          <t>Déc 2025</t>
        </is>
      </c>
    </row>
    <row r="15">
      <c r="A15" s="6" t="inlineStr">
        <is>
          <t>Helmet renforcé (CSP + X-Frame-Options deny + HSTS 1 an)</t>
        </is>
      </c>
      <c r="B15" s="6" t="inlineStr">
        <is>
          <t>IMP-SEC-11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server.ts</t>
        </is>
      </c>
      <c r="F15" s="6" t="inlineStr">
        <is>
          <t>Déc 2025</t>
        </is>
      </c>
    </row>
    <row r="16">
      <c r="A16" s="6" t="inlineStr">
        <is>
          <t>Socket.IO CORS fermé par défaut (production)</t>
        </is>
      </c>
      <c r="B16" s="6" t="inlineStr">
        <is>
          <t>IMP-SEC-12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socket.service.ts</t>
        </is>
      </c>
      <c r="F16" s="6" t="inlineStr">
        <is>
          <t>Déc 2025</t>
        </is>
      </c>
    </row>
    <row r="17">
      <c r="A17" s="6" t="inlineStr">
        <is>
          <t>Pages légales intégrées (CGU + CGV + Politique de confidentialité + Registre GDPR)</t>
        </is>
      </c>
      <c r="B17" s="6" t="inlineStr">
        <is>
          <t>IMP-SEC-13</t>
        </is>
      </c>
      <c r="C17" s="6" t="inlineStr">
        <is>
          <t>Authentification &amp; Sécurité</t>
        </is>
      </c>
      <c r="D17" s="6" t="inlineStr">
        <is>
          <t>Production</t>
        </is>
      </c>
      <c r="E17" s="6" t="inlineStr">
        <is>
          <t>/legal/privacy; /legal/terms</t>
        </is>
      </c>
      <c r="F17" s="6" t="inlineStr">
        <is>
          <t>Déc 2025</t>
        </is>
      </c>
    </row>
    <row r="18">
      <c r="A18" s="6" t="inlineStr">
        <is>
          <t>Upload vidéo avec vérification checksum (SHA-256)</t>
        </is>
      </c>
      <c r="B18" s="6" t="inlineStr">
        <is>
          <t>IMP-VID-01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content.controller.ts, upload-verification.service.ts</t>
        </is>
      </c>
      <c r="F18" s="6" t="inlineStr">
        <is>
          <t>2025</t>
        </is>
      </c>
    </row>
    <row r="19">
      <c r="A19" s="6" t="inlineStr">
        <is>
          <t>Compression vidéo automatique</t>
        </is>
      </c>
      <c r="B19" s="6" t="inlineStr">
        <is>
          <t>IMP-VID-02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video-compression.service.ts</t>
        </is>
      </c>
      <c r="F19" s="6" t="inlineStr">
        <is>
          <t>2025</t>
        </is>
      </c>
    </row>
    <row r="20">
      <c r="A20" s="6" t="inlineStr">
        <is>
          <t>Conversion image vers vidéo (ffmpeg + JPG/PNG/WEBP → MP4)</t>
        </is>
      </c>
      <c r="B20" s="6" t="inlineStr">
        <is>
          <t>IMP-VID-03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v2.44.0 Jan 2026</t>
        </is>
      </c>
    </row>
    <row r="21">
      <c r="A21" s="6" t="inlineStr">
        <is>
          <t>Conversion image vers vidéo : option fond flouté</t>
        </is>
      </c>
      <c r="B21" s="6" t="inlineStr">
        <is>
          <t>IMP-VID-04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image-to-video.service.ts</t>
        </is>
      </c>
      <c r="F21" s="6" t="inlineStr">
        <is>
          <t>Jan 2026</t>
        </is>
      </c>
    </row>
    <row r="22">
      <c r="A22" s="6" t="inlineStr">
        <is>
          <t>Miniatures automatiques</t>
        </is>
      </c>
      <c r="B22" s="6" t="inlineStr">
        <is>
          <t>IMP-VID-05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thumbnail.service.ts</t>
        </is>
      </c>
      <c r="F22" s="6" t="inlineStr">
        <is>
          <t>2025</t>
        </is>
      </c>
    </row>
    <row r="23">
      <c r="A23" s="6" t="inlineStr">
        <is>
          <t>Stockage unifié FTP (Hostinger)</t>
        </is>
      </c>
      <c r="B23" s="6" t="inlineStr">
        <is>
          <t>IMP-VID-06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storage.service.ts</t>
        </is>
      </c>
      <c r="F23" s="6" t="inlineStr">
        <is>
          <t>2025</t>
        </is>
      </c>
    </row>
    <row r="24">
      <c r="A24" s="6" t="inlineStr">
        <is>
          <t>Versioning brouillon de config (sauvegarder avant déployer)</t>
        </is>
      </c>
      <c r="B24" s="6" t="inlineStr">
        <is>
          <t>IMP-VID-07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draft.service.ts, drafts.controller.ts</t>
        </is>
      </c>
      <c r="F24" s="6" t="inlineStr">
        <is>
          <t>Déc 2025</t>
        </is>
      </c>
    </row>
    <row r="25">
      <c r="A25" s="6" t="inlineStr">
        <is>
          <t>Gestion des assets (logos + images)</t>
        </is>
      </c>
      <c r="B25" s="6" t="inlineStr">
        <is>
          <t>IMP-VID-08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assets.controller.ts, asset.service.ts</t>
        </is>
      </c>
      <c r="F25" s="6" t="inlineStr">
        <is>
          <t>2025</t>
        </is>
      </c>
    </row>
    <row r="26">
      <c r="A26" s="6" t="inlineStr">
        <is>
          <t>Pagination côté serveur pour listing vidéos</t>
        </is>
      </c>
      <c r="B26" s="6" t="inlineStr">
        <is>
          <t>IMP-VID-09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content.controller.ts</t>
        </is>
      </c>
      <c r="F26" s="6" t="inlineStr">
        <is>
          <t>v3.56.0</t>
        </is>
      </c>
    </row>
    <row r="27">
      <c r="A27" s="6" t="inlineStr">
        <is>
          <t>Prévisualisation vidéo dans page gestion contenu</t>
        </is>
      </c>
      <c r="B27" s="6" t="inlineStr">
        <is>
          <t>IMP-VID-10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content-management.component.ts</t>
        </is>
      </c>
      <c r="F27" s="6" t="inlineStr">
        <is>
          <t>2025</t>
        </is>
      </c>
    </row>
    <row r="28">
      <c r="A28" s="6" t="inlineStr">
        <is>
          <t>Historique config avec détail dépliable et restauration</t>
        </is>
      </c>
      <c r="B28" s="6" t="inlineStr">
        <is>
          <t>IMP-VID-11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config-history.component.ts</t>
        </is>
      </c>
      <c r="F28" s="6" t="inlineStr">
        <is>
          <t>v3.57.0</t>
        </is>
      </c>
    </row>
    <row r="29">
      <c r="A29" s="6" t="inlineStr">
        <is>
          <t>Restructuration UX onglet Contenu (ADR-022 + P0→P3)</t>
        </is>
      </c>
      <c r="B29" s="6" t="inlineStr">
        <is>
          <t>IMP-VID-12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content-tab.component.ts</t>
        </is>
      </c>
      <c r="F29" s="6" t="inlineStr">
        <is>
          <t>2026</t>
        </is>
      </c>
    </row>
    <row r="30">
      <c r="A30" s="6" t="inlineStr">
        <is>
          <t>Historique des modifications dans onglet Contenu (P3-3)</t>
        </is>
      </c>
      <c r="B30" s="6" t="inlineStr">
        <is>
          <t>IMP-VID-13</t>
        </is>
      </c>
      <c r="C30" s="6" t="inlineStr">
        <is>
          <t>Gestion de Contenu &amp; Vidéo</t>
        </is>
      </c>
      <c r="D30" s="6" t="inlineStr">
        <is>
          <t>Production</t>
        </is>
      </c>
      <c r="E30" s="6" t="inlineStr">
        <is>
          <t>-</t>
        </is>
      </c>
      <c r="F30" s="6" t="inlineStr">
        <is>
          <t>2026</t>
        </is>
      </c>
    </row>
    <row r="31">
      <c r="A31" s="6" t="inlineStr">
        <is>
          <t>Overlay V2 Multi-Sport (6 sports + 9 positions)</t>
        </is>
      </c>
      <c r="B31" s="6" t="inlineStr">
        <is>
          <t>IMP-OVR-01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local-options.service.ts, tv.component.ts</t>
        </is>
      </c>
      <c r="F31" s="6" t="inlineStr">
        <is>
          <t>Déc 2025</t>
        </is>
      </c>
    </row>
    <row r="32">
      <c r="A32" s="6" t="inlineStr">
        <is>
          <t>Overlay local (chronomètre + bandeau info + popup but + 3 templates)</t>
        </is>
      </c>
      <c r="B32" s="6" t="inlineStr">
        <is>
          <t>IMP-OVR-02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local-broadcast.service.ts</t>
        </is>
      </c>
      <c r="F32" s="6" t="inlineStr">
        <is>
          <t>Déc 2025</t>
        </is>
      </c>
    </row>
    <row r="33">
      <c r="A33" s="6" t="inlineStr">
        <is>
          <t>Overlay score simplifié : 2 thèmes CSS broadcast</t>
        </is>
      </c>
      <c r="B33" s="6" t="inlineStr">
        <is>
          <t>IMP-OVR-03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overlay.component.ts</t>
        </is>
      </c>
      <c r="F33" s="6" t="inlineStr">
        <is>
          <t>v3.50.0</t>
        </is>
      </c>
    </row>
    <row r="34">
      <c r="A34" s="6" t="inlineStr">
        <is>
          <t>Score en direct avec overlay + popup</t>
        </is>
      </c>
      <c r="B34" s="6" t="inlineStr">
        <is>
          <t>IMP-OVR-04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Personnalisation overlay score depuis dashboard central</t>
        </is>
      </c>
      <c r="B35" s="6" t="inlineStr">
        <is>
          <t>IMP-OVR-05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Upload logos équipes et affichage dans overlay</t>
        </is>
      </c>
      <c r="B36" s="6" t="inlineStr">
        <is>
          <t>IMP-OVR-06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Presets overlay (templates de configuration réutilisables)</t>
        </is>
      </c>
      <c r="B37" s="6" t="inlineStr">
        <is>
          <t>IMP-OVR-07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Bandeau d'informations défilant (scroll/truncate/multiline)</t>
        </is>
      </c>
      <c r="B38" s="6" t="inlineStr">
        <is>
          <t>IMP-OVR-08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Animation but (popup/plein écran/slide)</t>
        </is>
      </c>
      <c r="B39" s="6" t="inlineStr">
        <is>
          <t>IMP-OVR-09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Chronomètre intégré avec score</t>
        </is>
      </c>
      <c r="B40" s="6" t="inlineStr">
        <is>
          <t>IMP-OVR-10</t>
        </is>
      </c>
      <c r="C40" s="6" t="inlineStr">
        <is>
          <t>Score en Direct &amp; Overlays</t>
        </is>
      </c>
      <c r="D40" s="6" t="inlineStr">
        <is>
          <t>Production</t>
        </is>
      </c>
      <c r="E40" s="6" t="inlineStr">
        <is>
          <t>-</t>
        </is>
      </c>
      <c r="F40" s="6" t="inlineStr">
        <is>
          <t>Déc 2025</t>
        </is>
      </c>
    </row>
    <row r="41">
      <c r="A41" s="6" t="inlineStr">
        <is>
          <t>Déploiement vidéo avec retry (3 max + backoff 5min)</t>
        </is>
      </c>
      <c r="B41" s="6" t="inlineStr">
        <is>
          <t>IMP-DEP-01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deployment.service.ts</t>
        </is>
      </c>
      <c r="F41" s="6" t="inlineStr">
        <is>
          <t>2025</t>
        </is>
      </c>
    </row>
    <row r="42">
      <c r="A42" s="6" t="inlineStr">
        <is>
          <t>Déploiement orchestré multi-sites</t>
        </is>
      </c>
      <c r="B42" s="6" t="inlineStr">
        <is>
          <t>IMP-DEP-02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orchestrated-deployment.service.ts</t>
        </is>
      </c>
      <c r="F42" s="6" t="inlineStr">
        <is>
          <t>2025</t>
        </is>
      </c>
    </row>
    <row r="43">
      <c r="A43" s="6" t="inlineStr">
        <is>
          <t>Déploiement canary progressif (10→25→50→75→100%)</t>
        </is>
      </c>
      <c r="B43" s="6" t="inlineStr">
        <is>
          <t>IMP-DEP-03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canary-deployment.service.ts</t>
        </is>
      </c>
      <c r="F43" s="6" t="inlineStr">
        <is>
          <t>2025</t>
        </is>
      </c>
    </row>
    <row r="44">
      <c r="A44" s="6" t="inlineStr">
        <is>
          <t>Mises à jour logicielles OTA avec planification redémarrage</t>
        </is>
      </c>
      <c r="B44" s="6" t="inlineStr">
        <is>
          <t>IMP-DEP-04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update-deployment.service.ts, updates.controller.ts</t>
        </is>
      </c>
      <c r="F44" s="6" t="inlineStr">
        <is>
          <t>2025</t>
        </is>
      </c>
    </row>
    <row r="45">
      <c r="A45" s="6" t="inlineStr">
        <is>
          <t>File de commandes (commandes pour Pi hors-ligne)</t>
        </is>
      </c>
      <c r="B45" s="6" t="inlineStr">
        <is>
          <t>IMP-DEP-05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command-queue.service.ts</t>
        </is>
      </c>
      <c r="F45" s="6" t="inlineStr">
        <is>
          <t>2025</t>
        </is>
      </c>
    </row>
    <row r="46">
      <c r="A46" s="6" t="inlineStr">
        <is>
          <t>Déploiements planifiés (date/heure)</t>
        </is>
      </c>
      <c r="B46" s="6" t="inlineStr">
        <is>
          <t>IMP-DEP-06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2025</t>
        </is>
      </c>
    </row>
    <row r="47">
      <c r="A47" s="6" t="inlineStr">
        <is>
          <t>File de déploiement vidéo (pattern sendOrQueue)</t>
        </is>
      </c>
      <c r="B47" s="6" t="inlineStr">
        <is>
          <t>IMP-DEP-07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deployment.service.ts</t>
        </is>
      </c>
      <c r="F47" s="6" t="inlineStr">
        <is>
          <t>Jan 2026</t>
        </is>
      </c>
    </row>
    <row r="48">
      <c r="A48" s="6" t="inlineStr">
        <is>
          <t>OTA planification redémarrage + rollback automatique</t>
        </is>
      </c>
      <c r="B48" s="6" t="inlineStr">
        <is>
          <t>IMP-DEP-08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update-deployment.service.ts</t>
        </is>
      </c>
      <c r="F48" s="6" t="inlineStr">
        <is>
          <t>v3.55.0</t>
        </is>
      </c>
    </row>
    <row r="49">
      <c r="A49" s="6" t="inlineStr">
        <is>
          <t>Exécuteur de migration + retry checksum OTA</t>
        </is>
      </c>
      <c r="B49" s="6" t="inlineStr">
        <is>
          <t>IMP-DEP-09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migration-runner.js</t>
        </is>
      </c>
      <c r="F49" s="6" t="inlineStr">
        <is>
          <t>v3.55.0</t>
        </is>
      </c>
    </row>
    <row r="50">
      <c r="A50" s="6" t="inlineStr">
        <is>
          <t>Diagnostic santé Pi complet (mode JSON)</t>
        </is>
      </c>
      <c r="B50" s="6" t="inlineStr">
        <is>
          <t>IMP-DEP-10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health-diagnostic.js</t>
        </is>
      </c>
      <c r="F50" s="6" t="inlineStr">
        <is>
          <t>2026</t>
        </is>
      </c>
    </row>
    <row r="51">
      <c r="A51" s="6" t="inlineStr">
        <is>
          <t>Scripts pré-migration (fix ownership + copie VERSION)</t>
        </is>
      </c>
      <c r="B51" s="6" t="inlineStr">
        <is>
          <t>IMP-DEP-11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pre-migration.sh</t>
        </is>
      </c>
      <c r="F51" s="6" t="inlineStr">
        <is>
          <t>v3.55.x</t>
        </is>
      </c>
    </row>
    <row r="52">
      <c r="A52" s="6" t="inlineStr">
        <is>
          <t>Scripts install/setup/build renforcés</t>
        </is>
      </c>
      <c r="B52" s="6" t="inlineStr">
        <is>
          <t>IMP-DEP-12</t>
        </is>
      </c>
      <c r="C52" s="6" t="inlineStr">
        <is>
          <t>Déploiement &amp; OTA</t>
        </is>
      </c>
      <c r="D52" s="6" t="inlineStr">
        <is>
          <t>Production</t>
        </is>
      </c>
      <c r="E52" s="6" t="inlineStr">
        <is>
          <t>install.sh, setup.sh, build-raspberry.sh</t>
        </is>
      </c>
      <c r="F52" s="6" t="inlineStr">
        <is>
          <t>2026</t>
        </is>
      </c>
    </row>
    <row r="53">
      <c r="A53" s="6" t="inlineStr">
        <is>
          <t>Système d'abonnements 3 tiers (Essentiel/Autonomie/Premium)</t>
        </is>
      </c>
      <c r="B53" s="6" t="inlineStr">
        <is>
          <t>IMP-MON-01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subscription.service.ts, subscription.controller.ts</t>
        </is>
      </c>
      <c r="F53" s="6" t="inlineStr">
        <is>
          <t>Déc 2025</t>
        </is>
      </c>
    </row>
    <row r="54">
      <c r="A54" s="6" t="inlineStr">
        <is>
          <t>Facturation mensuelle (export CSV/JSON)</t>
        </is>
      </c>
      <c r="B54" s="6" t="inlineStr">
        <is>
          <t>IMP-MON-02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billing.service.ts, billing.controller.ts</t>
        </is>
      </c>
      <c r="F54" s="6" t="inlineStr">
        <is>
          <t>Déc 2025</t>
        </is>
      </c>
    </row>
    <row r="55">
      <c r="A55" s="6" t="inlineStr">
        <is>
          <t>Portail annonceur (upload vidéos + analytics + compte)</t>
        </is>
      </c>
      <c r="B55" s="6" t="inlineStr">
        <is>
          <t>IMP-MON-03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advertiser-portal.controller.ts</t>
        </is>
      </c>
      <c r="F55" s="6" t="inlineStr">
        <is>
          <t>Déc 2025</t>
        </is>
      </c>
    </row>
    <row r="56">
      <c r="A56" s="6" t="inlineStr">
        <is>
          <t>Portail sponsor lien magique (accès token sans login)</t>
        </is>
      </c>
      <c r="B56" s="6" t="inlineStr">
        <is>
          <t>IMP-MON-04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sponsor-access.service.ts, sponsor-portal.controller.ts</t>
        </is>
      </c>
      <c r="F56" s="6" t="inlineStr">
        <is>
          <t>Déc 2025</t>
        </is>
      </c>
    </row>
    <row r="57">
      <c r="A57" s="6" t="inlineStr">
        <is>
          <t>Portail agence (gestion multi-annonceurs)</t>
        </is>
      </c>
      <c r="B57" s="6" t="inlineStr">
        <is>
          <t>IMP-MON-05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agency.controller.ts</t>
        </is>
      </c>
      <c r="F57" s="6" t="inlineStr">
        <is>
          <t>Déc 2025</t>
        </is>
      </c>
    </row>
    <row r="58">
      <c r="A58" s="6" t="inlineStr">
        <is>
          <t>Association site-sponsor</t>
        </is>
      </c>
      <c r="B58" s="6" t="inlineStr">
        <is>
          <t>IMP-MON-06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site-sponsor.repository.ts, site-sponsor.controller.ts</t>
        </is>
      </c>
      <c r="F58" s="6" t="inlineStr">
        <is>
          <t>2025</t>
        </is>
      </c>
    </row>
    <row r="59">
      <c r="A59" s="6" t="inlineStr">
        <is>
          <t>Migration Sponsor → Annonceur (sémantique métier)</t>
        </is>
      </c>
      <c r="B59" s="6" t="inlineStr">
        <is>
          <t>IMP-MON-07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rename-sponsor-to-advertiser.sql</t>
        </is>
      </c>
      <c r="F59" s="6" t="inlineStr">
        <is>
          <t>Déc 2025</t>
        </is>
      </c>
    </row>
    <row r="60">
      <c r="A60" s="6" t="inlineStr">
        <is>
          <t>Preuve de diffusion (capture + certificat)</t>
        </is>
      </c>
      <c r="B60" s="6" t="inlineStr">
        <is>
          <t>IMP-MON-08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add-proof-of-broadcasts.sql, proof.service.ts</t>
        </is>
      </c>
      <c r="F60" s="6" t="inlineStr">
        <is>
          <t>2025</t>
        </is>
      </c>
    </row>
    <row r="61">
      <c r="A61" s="6" t="inlineStr">
        <is>
          <t>Métriques sponsors cross-réseau</t>
        </is>
      </c>
      <c r="B61" s="6" t="inlineStr">
        <is>
          <t>IMP-MON-09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network-sponsor.routes.ts</t>
        </is>
      </c>
      <c r="F61" s="6" t="inlineStr">
        <is>
          <t>2025</t>
        </is>
      </c>
    </row>
    <row r="62">
      <c r="A62" s="6" t="inlineStr">
        <is>
          <t>Interface association vidéo-sponsor (ajout/suppression)</t>
        </is>
      </c>
      <c r="B62" s="6" t="inlineStr">
        <is>
          <t>IMP-MON-10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video-sponsor.component.ts</t>
        </is>
      </c>
      <c r="F62" s="6" t="inlineStr">
        <is>
          <t>v3.59.0</t>
        </is>
      </c>
    </row>
    <row r="63">
      <c r="A63" s="6" t="inlineStr">
        <is>
          <t>Sync dashboard sponsors vers Pi pendant déploiement (P8)</t>
        </is>
      </c>
      <c r="B63" s="6" t="inlineStr">
        <is>
          <t>IMP-MON-11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deployment.service.ts</t>
        </is>
      </c>
      <c r="F63" s="6" t="inlineStr">
        <is>
          <t>v3.60.0</t>
        </is>
      </c>
    </row>
    <row r="64">
      <c r="A64" s="6" t="inlineStr">
        <is>
          <t>Site-sponsors P0-P5 : analytics + branding + liens magiques</t>
        </is>
      </c>
      <c r="B64" s="6" t="inlineStr">
        <is>
          <t>IMP-MON-12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site-sponsor.controller.ts</t>
        </is>
      </c>
      <c r="F64" s="6" t="inlineStr">
        <is>
          <t>v3.53.0</t>
        </is>
      </c>
    </row>
    <row r="65">
      <c r="A65" s="6" t="inlineStr">
        <is>
          <t>Poussée licence temps réel vers Pi sur changement abonnement</t>
        </is>
      </c>
      <c r="B65" s="6" t="inlineStr">
        <is>
          <t>IMP-MON-13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subscription.service.ts</t>
        </is>
      </c>
      <c r="F65" s="6" t="inlineStr">
        <is>
          <t>2026</t>
        </is>
      </c>
    </row>
    <row r="66">
      <c r="A66" s="6" t="inlineStr">
        <is>
          <t>Interface abonnement : design premium glassmorphism + modal unifié</t>
        </is>
      </c>
      <c r="B66" s="6" t="inlineStr">
        <is>
          <t>IMP-MON-14</t>
        </is>
      </c>
      <c r="C66" s="6" t="inlineStr">
        <is>
          <t>Monétisation &amp; Sponsors</t>
        </is>
      </c>
      <c r="D66" s="6" t="inlineStr">
        <is>
          <t>Production</t>
        </is>
      </c>
      <c r="E66" s="6" t="inlineStr">
        <is>
          <t>subscription.component.ts</t>
        </is>
      </c>
      <c r="F66" s="6" t="inlineStr">
        <is>
          <t>2026</t>
        </is>
      </c>
    </row>
    <row r="67">
      <c r="A67" s="6" t="inlineStr">
        <is>
          <t>Analytics club (santé + engagement + lectures vidéo)</t>
        </is>
      </c>
      <c r="B67" s="6" t="inlineStr">
        <is>
          <t>IMP-ANA-01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analytics.controller.ts, analytics.repository.ts</t>
        </is>
      </c>
      <c r="F67" s="6" t="inlineStr">
        <is>
          <t>2025</t>
        </is>
      </c>
    </row>
    <row r="68">
      <c r="A68" s="6" t="inlineStr">
        <is>
          <t>Analytics annonceurs (impressions par gymnase/période)</t>
        </is>
      </c>
      <c r="B68" s="6" t="inlineStr">
        <is>
          <t>IMP-ANA-02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advertiser-analytics.controller.ts</t>
        </is>
      </c>
      <c r="F68" s="6" t="inlineStr">
        <is>
          <t>Déc 2025</t>
        </is>
      </c>
    </row>
    <row r="69">
      <c r="A69" s="6" t="inlineStr">
        <is>
          <t>Rapport PDF club (6 pages avec signature SHA-256)</t>
        </is>
      </c>
      <c r="B69" s="6" t="inlineStr">
        <is>
          <t>IMP-ANA-03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pdf-report.service.ts</t>
        </is>
      </c>
      <c r="F69" s="6" t="inlineStr">
        <is>
          <t>Déc 2025</t>
        </is>
      </c>
    </row>
    <row r="70">
      <c r="A70" s="6" t="inlineStr">
        <is>
          <t>Rapports mensuels automatisés (PDF + CSV)</t>
        </is>
      </c>
      <c r="B70" s="6" t="inlineStr">
        <is>
          <t>IMP-ANA-04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monthly-reports.service.ts</t>
        </is>
      </c>
      <c r="F70" s="6" t="inlineStr">
        <is>
          <t>Déc 2025</t>
        </is>
      </c>
    </row>
    <row r="71">
      <c r="A71" s="6" t="inlineStr">
        <is>
          <t>Export Excel analytics</t>
        </is>
      </c>
      <c r="B71" s="6" t="inlineStr">
        <is>
          <t>IMP-ANA-05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excel-export.service.ts</t>
        </is>
      </c>
      <c r="F71" s="6" t="inlineStr">
        <is>
          <t>2025</t>
        </is>
      </c>
    </row>
    <row r="72">
      <c r="A72" s="6" t="inlineStr">
        <is>
          <t>Benchmark clubs anonymisé</t>
        </is>
      </c>
      <c r="B72" s="6" t="inlineStr">
        <is>
          <t>IMP-ANA-06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benchmark.service.ts, benchmark.controller.ts</t>
        </is>
      </c>
      <c r="F72" s="6" t="inlineStr">
        <is>
          <t>2025</t>
        </is>
      </c>
    </row>
    <row r="73">
      <c r="A73" s="6" t="inlineStr">
        <is>
          <t>Métriques Prometheus (performance + alertes + sync)</t>
        </is>
      </c>
      <c r="B73" s="6" t="inlineStr">
        <is>
          <t>IMP-ANA-07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metrics.service.ts</t>
        </is>
      </c>
      <c r="F73" s="6" t="inlineStr">
        <is>
          <t>2025</t>
        </is>
      </c>
    </row>
    <row r="74">
      <c r="A74" s="6" t="inlineStr">
        <is>
          <t>Statistiques temps réel (agrégation live)</t>
        </is>
      </c>
      <c r="B74" s="6" t="inlineStr">
        <is>
          <t>IMP-ANA-08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realtime-stats.service.ts</t>
        </is>
      </c>
      <c r="F74" s="6" t="inlineStr">
        <is>
          <t>2025</t>
        </is>
      </c>
    </row>
    <row r="75">
      <c r="A75" s="6" t="inlineStr">
        <is>
          <t>Métriques pitch-deck (investisseurs)</t>
        </is>
      </c>
      <c r="B75" s="6" t="inlineStr">
        <is>
          <t>IMP-ANA-09</t>
        </is>
      </c>
      <c r="C75" s="6" t="inlineStr">
        <is>
          <t>Analytics &amp; Reporting</t>
        </is>
      </c>
      <c r="D75" s="6" t="inlineStr">
        <is>
          <t>Production</t>
        </is>
      </c>
      <c r="E75" s="6" t="inlineStr">
        <is>
          <t>pitch-deck.controller.ts, pitch-deck.repository.ts</t>
        </is>
      </c>
      <c r="F75" s="6" t="inlineStr">
        <is>
          <t>2025</t>
        </is>
      </c>
    </row>
    <row r="76">
      <c r="A76" s="6" t="inlineStr">
        <is>
          <t>Estimation d'audience et score live (champs DB)</t>
        </is>
      </c>
      <c r="B76" s="6" t="inlineStr">
        <is>
          <t>IMP-ANA-10</t>
        </is>
      </c>
      <c r="C76" s="6" t="inlineStr">
        <is>
          <t>Analytics &amp; Reporting</t>
        </is>
      </c>
      <c r="D76" s="6" t="inlineStr">
        <is>
          <t>Livré</t>
        </is>
      </c>
      <c r="E76" s="6" t="inlineStr">
        <is>
          <t>add-audience-and-score-fields.sql</t>
        </is>
      </c>
      <c r="F76" s="6" t="inlineStr">
        <is>
          <t>Déc 2025</t>
        </is>
      </c>
    </row>
    <row r="77">
      <c r="A77" s="6" t="inlineStr">
        <is>
          <t>P6 analytics : statistiques réseau + benchmark + CPI + décomposition match PDF</t>
        </is>
      </c>
      <c r="B77" s="6" t="inlineStr">
        <is>
          <t>IMP-ANA-11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analytics.controller.ts</t>
        </is>
      </c>
      <c r="F77" s="6" t="inlineStr">
        <is>
          <t>v3.54.0</t>
        </is>
      </c>
    </row>
    <row r="78">
      <c r="A78" s="6" t="inlineStr">
        <is>
          <t>Dashboard métriques de traction (KPIs business pour pitch)</t>
        </is>
      </c>
      <c r="B78" s="6" t="inlineStr">
        <is>
          <t>IMP-ANA-12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traction-metrics.component.ts</t>
        </is>
      </c>
      <c r="F78" s="6" t="inlineStr">
        <is>
          <t>2026</t>
        </is>
      </c>
    </row>
    <row r="79">
      <c r="A79" s="6" t="inlineStr">
        <is>
          <t>Détection statut TV HDMI-CEC (filtrer vraies lectures vidéo)</t>
        </is>
      </c>
      <c r="B79" s="6" t="inlineStr">
        <is>
          <t>IMP-ANA-13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hdmi-cec.service.ts</t>
        </is>
      </c>
      <c r="F79" s="6" t="inlineStr">
        <is>
          <t>2026</t>
        </is>
      </c>
    </row>
    <row r="80">
      <c r="A80" s="6" t="inlineStr">
        <is>
          <t>Dashboard santé flotte</t>
        </is>
      </c>
      <c r="B80" s="6" t="inlineStr">
        <is>
          <t>IMP-ANA-14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fleet-health.component.ts</t>
        </is>
      </c>
      <c r="F80" s="6" t="inlineStr">
        <is>
          <t>2025</t>
        </is>
      </c>
    </row>
    <row r="81">
      <c r="A81" s="6" t="inlineStr">
        <is>
          <t>Dashboard temps réel + export Excel</t>
        </is>
      </c>
      <c r="B81" s="6" t="inlineStr">
        <is>
          <t>IMP-ANA-15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realtime-dashboard.component.ts</t>
        </is>
      </c>
      <c r="F81" s="6" t="inlineStr">
        <is>
          <t>2025</t>
        </is>
      </c>
    </row>
    <row r="82">
      <c r="A82" s="6" t="inlineStr">
        <is>
          <t>Navigation par onglets sur toutes les pages analytics</t>
        </is>
      </c>
      <c r="B82" s="6" t="inlineStr">
        <is>
          <t>IMP-ANA-16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analytics.module.ts</t>
        </is>
      </c>
      <c r="F82" s="6" t="inlineStr">
        <is>
          <t>2026</t>
        </is>
      </c>
    </row>
    <row r="83">
      <c r="A83" s="6" t="inlineStr">
        <is>
          <t>Analytics sponsors : 6 KPIs + graphiques (ligne + anneau) + export CSV</t>
        </is>
      </c>
      <c r="B83" s="6" t="inlineStr">
        <is>
          <t>IMP-ANA-17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sponsor-analytics.component.ts</t>
        </is>
      </c>
      <c r="F83" s="6" t="inlineStr">
        <is>
          <t>Déc 2025</t>
        </is>
      </c>
    </row>
    <row r="84">
      <c r="A84" s="6" t="inlineStr">
        <is>
          <t>Rapports PDF sponsors professionnels (Chart.js)</t>
        </is>
      </c>
      <c r="B84" s="6" t="inlineStr">
        <is>
          <t>IMP-ANA-18</t>
        </is>
      </c>
      <c r="C84" s="6" t="inlineStr">
        <is>
          <t>Analytics &amp; Reporting</t>
        </is>
      </c>
      <c r="D84" s="6" t="inlineStr">
        <is>
          <t>Production</t>
        </is>
      </c>
      <c r="E84" s="6" t="inlineStr">
        <is>
          <t>pdf-report.service.ts</t>
        </is>
      </c>
      <c r="F84" s="6" t="inlineStr">
        <is>
          <t>Déc 2025</t>
        </is>
      </c>
    </row>
    <row r="85">
      <c r="A85" s="6" t="inlineStr">
        <is>
          <t>Télécommande v2 (recherche + badge audience + modal match)</t>
        </is>
      </c>
      <c r="B85" s="6" t="inlineStr">
        <is>
          <t>IMP-PI-01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remote.component.ts</t>
        </is>
      </c>
      <c r="F85" s="6" t="inlineStr">
        <is>
          <t>Déc 2025</t>
        </is>
      </c>
    </row>
    <row r="86">
      <c r="A86" s="6" t="inlineStr">
        <is>
          <t>Socket.IO mode hors-ligne autonome (lib locale)</t>
        </is>
      </c>
      <c r="B86" s="6" t="inlineStr">
        <is>
          <t>IMP-PI-02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socket.io.min.js local</t>
        </is>
      </c>
      <c r="F86" s="6" t="inlineStr">
        <is>
          <t>Déc 2025</t>
        </is>
      </c>
    </row>
    <row r="87">
      <c r="A87" s="6" t="inlineStr">
        <is>
          <t>Lecture vidéo double-buffer (transitions fluides)</t>
        </is>
      </c>
      <c r="B87" s="6" t="inlineStr">
        <is>
          <t>IMP-PI-03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double-buffer-video.service.ts</t>
        </is>
      </c>
      <c r="F87" s="6" t="inlineStr">
        <is>
          <t>2025</t>
        </is>
      </c>
    </row>
    <row r="88">
      <c r="A88" s="6" t="inlineStr">
        <is>
          <t>Profils de configuration (avant/pendant/après match)</t>
        </is>
      </c>
      <c r="B88" s="6" t="inlineStr">
        <is>
          <t>IMP-PI-04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profile-config.service.ts, config-profiles.controller.ts</t>
        </is>
      </c>
      <c r="F88" s="6" t="inlineStr">
        <is>
          <t>Déc 2025</t>
        </is>
      </c>
    </row>
    <row r="89">
      <c r="A89" s="6" t="inlineStr">
        <is>
          <t>Détection statut HDMI</t>
        </is>
      </c>
      <c r="B89" s="6" t="inlineStr">
        <is>
          <t>IMP-PI-05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hdmi-status.service.ts</t>
        </is>
      </c>
      <c r="F89" s="6" t="inlineStr">
        <is>
          <t>2025</t>
        </is>
      </c>
    </row>
    <row r="90">
      <c r="A90" s="6" t="inlineStr">
        <is>
          <t>Détection HDMI EDID (identifier type écran : moniteur PC vs TV)</t>
        </is>
      </c>
      <c r="B90" s="6" t="inlineStr">
        <is>
          <t>IMP-PI-06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hdmi-edid.service.ts</t>
        </is>
      </c>
      <c r="F90" s="6" t="inlineStr">
        <is>
          <t>2026</t>
        </is>
      </c>
    </row>
    <row r="91">
      <c r="A91" s="6" t="inlineStr">
        <is>
          <t>Récupération erreur vidéo (lecture de secours)</t>
        </is>
      </c>
      <c r="B91" s="6" t="inlineStr">
        <is>
          <t>IMP-PI-07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video-error-recovery.service.ts</t>
        </is>
      </c>
      <c r="F91" s="6" t="inlineStr">
        <is>
          <t>2025</t>
        </is>
      </c>
    </row>
    <row r="92">
      <c r="A92" s="6" t="inlineStr">
        <is>
          <t>Filigrane overlay configurable</t>
        </is>
      </c>
      <c r="B92" s="6" t="inlineStr">
        <is>
          <t>IMP-PI-08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watermark.service.ts</t>
        </is>
      </c>
      <c r="F92" s="6" t="inlineStr">
        <is>
          <t>2025</t>
        </is>
      </c>
    </row>
    <row r="93">
      <c r="A93" s="6" t="inlineStr">
        <is>
          <t>Sélecteur de filigrane déroulant sur Dashboard</t>
        </is>
      </c>
      <c r="B93" s="6" t="inlineStr">
        <is>
          <t>IMP-PI-09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watermark.component.ts</t>
        </is>
      </c>
      <c r="F93" s="6" t="inlineStr">
        <is>
          <t>v3.57.0</t>
        </is>
      </c>
    </row>
    <row r="94">
      <c r="A94" s="6" t="inlineStr">
        <is>
          <t>Capture d'écran (à la demande depuis télécommande cloud)</t>
        </is>
      </c>
      <c r="B94" s="6" t="inlineStr">
        <is>
          <t>IMP-PI-10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screenshot.service.ts</t>
        </is>
      </c>
      <c r="F94" s="6" t="inlineStr">
        <is>
          <t>2025</t>
        </is>
      </c>
    </row>
    <row r="95">
      <c r="A95" s="6" t="inlineStr">
        <is>
          <t>Branding personnalisé par site (logo + couleurs)</t>
        </is>
      </c>
      <c r="B95" s="6" t="inlineStr">
        <is>
          <t>IMP-PI-11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add-site-branding.sql</t>
        </is>
      </c>
      <c r="F95" s="6" t="inlineStr">
        <is>
          <t>2025</t>
        </is>
      </c>
    </row>
    <row r="96">
      <c r="A96" s="6" t="inlineStr">
        <is>
          <t>Hostname Pi dynamique dérivé du nom du club</t>
        </is>
      </c>
      <c r="B96" s="6" t="inlineStr">
        <is>
          <t>IMP-PI-12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hostname.service.ts</t>
        </is>
      </c>
      <c r="F96" s="6" t="inlineStr">
        <is>
          <t>v3.51.0</t>
        </is>
      </c>
    </row>
    <row r="97">
      <c r="A97" s="6" t="inlineStr">
        <is>
          <t>Enregistrement : retour auto en boucle après inactivité</t>
        </is>
      </c>
      <c r="B97" s="6" t="inlineStr">
        <is>
          <t>IMP-PI-13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recording.service.ts</t>
        </is>
      </c>
      <c r="F97" s="6" t="inlineStr">
        <is>
          <t>2026</t>
        </is>
      </c>
    </row>
    <row r="98">
      <c r="A98" s="6" t="inlineStr">
        <is>
          <t>Enregistrement : popup avertissement inactivité avec décompte (ADR-021)</t>
        </is>
      </c>
      <c r="B98" s="6" t="inlineStr">
        <is>
          <t>IMP-PI-14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remote.component.ts</t>
        </is>
      </c>
      <c r="F98" s="6" t="inlineStr">
        <is>
          <t>2026</t>
        </is>
      </c>
    </row>
    <row r="99">
      <c r="A99" s="6" t="inlineStr">
        <is>
          <t>Bascule mode club/tech + widget statut sync</t>
        </is>
      </c>
      <c r="B99" s="6" t="inlineStr">
        <is>
          <t>IMP-PI-15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admin-panel.component.ts</t>
        </is>
      </c>
      <c r="F99" s="6" t="inlineStr">
        <is>
          <t>2026</t>
        </is>
      </c>
    </row>
    <row r="100">
      <c r="A100" s="6" t="inlineStr">
        <is>
          <t>Installation apt depuis dashboard via sudoers</t>
        </is>
      </c>
      <c r="B100" s="6" t="inlineStr">
        <is>
          <t>IMP-PI-16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sudoers, admin-server.js</t>
        </is>
      </c>
      <c r="F100" s="6" t="inlineStr">
        <is>
          <t>2026</t>
        </is>
      </c>
    </row>
    <row r="101">
      <c r="A101" s="6" t="inlineStr">
        <is>
          <t>Contrôle enregistrement analytics + sync TV maître-esclave</t>
        </is>
      </c>
      <c r="B101" s="6" t="inlineStr">
        <is>
          <t>IMP-PI-17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recording.service.ts</t>
        </is>
      </c>
      <c r="F101" s="6" t="inlineStr">
        <is>
          <t>2026</t>
        </is>
      </c>
    </row>
    <row r="102">
      <c r="A102" s="6" t="inlineStr">
        <is>
          <t>Masquage curseur kiosque (triple protection sur TV)</t>
        </is>
      </c>
      <c r="B102" s="6" t="inlineStr">
        <is>
          <t>IMP-PI-18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kiosk.css</t>
        </is>
      </c>
      <c r="F102" s="6" t="inlineStr">
        <is>
          <t>2026</t>
        </is>
      </c>
    </row>
    <row r="103">
      <c r="A103" s="6" t="inlineStr">
        <is>
          <t>Transitions TV : détection frame réel (élimine trous noirs sur Pi 5)</t>
        </is>
      </c>
      <c r="B103" s="6" t="inlineStr">
        <is>
          <t>IMP-PI-19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double-buffer-video.service.ts</t>
        </is>
      </c>
      <c r="F103" s="6" t="inlineStr">
        <is>
          <t>2026</t>
        </is>
      </c>
    </row>
    <row r="104">
      <c r="A104" s="6" t="inlineStr">
        <is>
          <t>Chromium → chromium (compat Raspberry Pi OS Trixie)</t>
        </is>
      </c>
      <c r="B104" s="6" t="inlineStr">
        <is>
          <t>IMP-PI-20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kiosk.sh</t>
        </is>
      </c>
      <c r="F104" s="6" t="inlineStr">
        <is>
          <t>Déc 2025</t>
        </is>
      </c>
    </row>
    <row r="105">
      <c r="A105" s="6" t="inlineStr">
        <is>
          <t>Programmation boucle vidéo par phase match (pré/pendant/post)</t>
        </is>
      </c>
      <c r="B105" s="6" t="inlineStr">
        <is>
          <t>IMP-PI-21</t>
        </is>
      </c>
      <c r="C105" s="6" t="inlineStr">
        <is>
          <t>Raspberry Pi (Edge)</t>
        </is>
      </c>
      <c r="D105" s="6" t="inlineStr">
        <is>
          <t>Production</t>
        </is>
      </c>
      <c r="E105" s="6" t="inlineStr">
        <is>
          <t>loop-scheduler.js</t>
        </is>
      </c>
      <c r="F105" s="6" t="inlineStr">
        <is>
          <t>Déc 2025</t>
        </is>
      </c>
    </row>
    <row r="106">
      <c r="A106" s="6" t="inlineStr">
        <is>
          <t>Agent de sync bidirectionnel (cloud ↔ Pi)</t>
        </is>
      </c>
      <c r="B106" s="6" t="inlineStr">
        <is>
          <t>IMP-NET-01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sync-agent/</t>
        </is>
      </c>
      <c r="F106" s="6" t="inlineStr">
        <is>
          <t>2025</t>
        </is>
      </c>
    </row>
    <row r="107">
      <c r="A107" s="6" t="inlineStr">
        <is>
          <t>File d'attente hors-ligne (stocke commandes pendant déconnexion)</t>
        </is>
      </c>
      <c r="B107" s="6" t="inlineStr">
        <is>
          <t>IMP-NET-02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offline-queue.js</t>
        </is>
      </c>
      <c r="F107" s="6" t="inlineStr">
        <is>
          <t>2025</t>
        </is>
      </c>
    </row>
    <row r="108">
      <c r="A108" s="6" t="inlineStr">
        <is>
          <t>Chien de garde réseau (surveillance réseau)</t>
        </is>
      </c>
      <c r="B108" s="6" t="inlineStr">
        <is>
          <t>IMP-NET-03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network-watchdog.js</t>
        </is>
      </c>
      <c r="F108" s="6" t="inlineStr">
        <is>
          <t>2025</t>
        </is>
      </c>
    </row>
    <row r="109">
      <c r="A109" s="6" t="inlineStr">
        <is>
          <t>Opérations réseau sécurisées (retry + backoff exponentiel)</t>
        </is>
      </c>
      <c r="B109" s="6" t="inlineStr">
        <is>
          <t>IMP-NET-04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safe-network-operations.js</t>
        </is>
      </c>
      <c r="F109" s="6" t="inlineStr">
        <is>
          <t>2025</t>
        </is>
      </c>
    </row>
    <row r="110">
      <c r="A110" s="6" t="inlineStr">
        <is>
          <t>Détection statut connexion (en ligne/hors-ligne/dégradé)</t>
        </is>
      </c>
      <c r="B110" s="6" t="inlineStr">
        <is>
          <t>IMP-NET-05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connection-status.js</t>
        </is>
      </c>
      <c r="F110" s="6" t="inlineStr">
        <is>
          <t>2025</t>
        </is>
      </c>
    </row>
    <row r="111">
      <c r="A111" s="6" t="inlineStr">
        <is>
          <t>Historique de synchronisation</t>
        </is>
      </c>
      <c r="B111" s="6" t="inlineStr">
        <is>
          <t>IMP-NET-06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sync-history.js</t>
        </is>
      </c>
      <c r="F111" s="6" t="inlineStr">
        <is>
          <t>2025</t>
        </is>
      </c>
    </row>
    <row r="112">
      <c r="A112" s="6" t="inlineStr">
        <is>
          <t>Résilience Réseau Phase 4 : auto-recovery NetworkWatchdog (6 phases)</t>
        </is>
      </c>
      <c r="B112" s="6" t="inlineStr">
        <is>
          <t>IMP-NET-07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Mécanisme de rollback pour opérations réseau risquées</t>
        </is>
      </c>
      <c r="B113" s="6" t="inlineStr">
        <is>
          <t>IMP-NET-08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network-watchdog.js</t>
        </is>
      </c>
      <c r="F113" s="6" t="inlineStr">
        <is>
          <t>v2.37.0 Jan 2026</t>
        </is>
      </c>
    </row>
    <row r="114">
      <c r="A114" s="6" t="inlineStr">
        <is>
          <t>Alertes réseau proactives (mesh + isolation client + stabilité)</t>
        </is>
      </c>
      <c r="B114" s="6" t="inlineStr">
        <is>
          <t>IMP-NET-09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network-alerts.service.ts</t>
        </is>
      </c>
      <c r="F114" s="6" t="inlineStr">
        <is>
          <t>v2.37.0 Jan 2026</t>
        </is>
      </c>
    </row>
    <row r="115">
      <c r="A115" s="6" t="inlineStr">
        <is>
          <t>Support portail captif Android + compat iOS/Windows/macOS</t>
        </is>
      </c>
      <c r="B115" s="6" t="inlineStr">
        <is>
          <t>IMP-NET-10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captive-portal.sh</t>
        </is>
      </c>
      <c r="F115" s="6" t="inlineStr">
        <is>
          <t>Jan 2026</t>
        </is>
      </c>
    </row>
    <row r="116">
      <c r="A116" s="6" t="inlineStr">
        <is>
          <t>WiFi USB RTL8192EU stabilisation 4 couches (driver + udev + boot + watchdog)</t>
        </is>
      </c>
      <c r="B116" s="6" t="inlineStr">
        <is>
          <t>IMP-NET-11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v3.40.0 Fév 2026</t>
        </is>
      </c>
    </row>
    <row r="117">
      <c r="A117" s="6" t="inlineStr">
        <is>
          <t>Anti-interférence hotspot (penalty +100 sur sélection canal wlan1)</t>
        </is>
      </c>
      <c r="B117" s="6" t="inlineStr">
        <is>
          <t>IMP-NET-12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wifi-usb-stabilize.sh</t>
        </is>
      </c>
      <c r="F117" s="6" t="inlineStr">
        <is>
          <t>Fév 2026</t>
        </is>
      </c>
    </row>
    <row r="118">
      <c r="A118" s="6" t="inlineStr">
        <is>
          <t>WiFi récupération rapide (~2min vs ~5min) + fix boot init</t>
        </is>
      </c>
      <c r="B118" s="6" t="inlineStr">
        <is>
          <t>IMP-NET-13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wifi-recovery.js</t>
        </is>
      </c>
      <c r="F118" s="6" t="inlineStr">
        <is>
          <t>v3.58.0</t>
        </is>
      </c>
    </row>
    <row r="119">
      <c r="A119" s="6" t="inlineStr">
        <is>
          <t>Préservation hotspot wlan1 (pas de restart hostapd immédiat)</t>
        </is>
      </c>
      <c r="B119" s="6" t="inlineStr">
        <is>
          <t>IMP-NET-14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fix-hotspot.sh</t>
        </is>
      </c>
      <c r="F119" s="6" t="inlineStr">
        <is>
          <t>Jan 2026</t>
        </is>
      </c>
    </row>
    <row r="120">
      <c r="A120" s="6" t="inlineStr">
        <is>
          <t>Écriture atomique sync-agent pour configuration.json + auto-recovery</t>
        </is>
      </c>
      <c r="B120" s="6" t="inlineStr">
        <is>
          <t>IMP-NET-15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sync-agent/config-writer.js</t>
        </is>
      </c>
      <c r="F120" s="6" t="inlineStr">
        <is>
          <t>v3.48.0</t>
        </is>
      </c>
    </row>
    <row r="121">
      <c r="A121" s="6" t="inlineStr">
        <is>
          <t>Socket local persistant sync-agent (remplace éphémère)</t>
        </is>
      </c>
      <c r="B121" s="6" t="inlineStr">
        <is>
          <t>IMP-NET-16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sync-agent/socket.js</t>
        </is>
      </c>
      <c r="F121" s="6" t="inlineStr">
        <is>
          <t>2026</t>
        </is>
      </c>
    </row>
    <row r="122">
      <c r="A122" s="6" t="inlineStr">
        <is>
          <t>Configuration WiFi client à distance depuis dashboard central</t>
        </is>
      </c>
      <c r="B122" s="6" t="inlineStr">
        <is>
          <t>IMP-NET-17</t>
        </is>
      </c>
      <c r="C122" s="6" t="inlineStr">
        <is>
          <t>Résilience Réseau &amp; Sync</t>
        </is>
      </c>
      <c r="D122" s="6" t="inlineStr">
        <is>
          <t>Production</t>
        </is>
      </c>
      <c r="E122" s="6" t="inlineStr">
        <is>
          <t>wifi-config.controller.ts</t>
        </is>
      </c>
      <c r="F122" s="6" t="inlineStr">
        <is>
          <t>2026</t>
        </is>
      </c>
    </row>
    <row r="123">
      <c r="A123" s="6" t="inlineStr">
        <is>
          <t>Alertes réactives (CRUD + règles + escalade)</t>
        </is>
      </c>
      <c r="B123" s="6" t="inlineStr">
        <is>
          <t>IMP-ALR-01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alerts.controller.ts, alerting.service.ts</t>
        </is>
      </c>
      <c r="F123" s="6" t="inlineStr">
        <is>
          <t>2025</t>
        </is>
      </c>
    </row>
    <row r="124">
      <c r="A124" s="6" t="inlineStr">
        <is>
          <t>Alertes prédictives (disque + CPU + WiFi + inactivité)</t>
        </is>
      </c>
      <c r="B124" s="6" t="inlineStr">
        <is>
          <t>IMP-ALR-02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predictive-alerts.service.ts</t>
        </is>
      </c>
      <c r="F124" s="6" t="inlineStr">
        <is>
          <t>2025</t>
        </is>
      </c>
    </row>
    <row r="125">
      <c r="A125" s="6" t="inlineStr">
        <is>
          <t>Alertes réseau (qualité WiFi + déconnexions)</t>
        </is>
      </c>
      <c r="B125" s="6" t="inlineStr">
        <is>
          <t>IMP-ALR-03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network-alerts.service.ts</t>
        </is>
      </c>
      <c r="F125" s="6" t="inlineStr">
        <is>
          <t>2025</t>
        </is>
      </c>
    </row>
    <row r="126">
      <c r="A126" s="6" t="inlineStr">
        <is>
          <t>Vérifications santé système</t>
        </is>
      </c>
      <c r="B126" s="6" t="inlineStr">
        <is>
          <t>IMP-ALR-04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health.service.ts</t>
        </is>
      </c>
      <c r="F126" s="6" t="inlineStr">
        <is>
          <t>2025</t>
        </is>
      </c>
    </row>
    <row r="127">
      <c r="A127" s="6" t="inlineStr">
        <is>
          <t>Objectifs &amp; alertes clubs (7 métriques + 3 périodes)</t>
        </is>
      </c>
      <c r="B127" s="6" t="inlineStr">
        <is>
          <t>IMP-ALR-05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objectives.controller.ts</t>
        </is>
      </c>
      <c r="F127" s="6" t="inlineStr">
        <is>
          <t>Déc 2025</t>
        </is>
      </c>
    </row>
    <row r="128">
      <c r="A128" s="6" t="inlineStr">
        <is>
          <t>Monitoring ventilateur de bout en bout (alertes + Prometheus + Grafana)</t>
        </is>
      </c>
      <c r="B128" s="6" t="inlineStr">
        <is>
          <t>IMP-ALR-06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fan-monitoring.service.ts</t>
        </is>
      </c>
      <c r="F128" s="6" t="inlineStr">
        <is>
          <t>v3.52.0</t>
        </is>
      </c>
    </row>
    <row r="129">
      <c r="A129" s="6" t="inlineStr">
        <is>
          <t>Notification Slack "Site en ligne" sur reconnexion Pi</t>
        </is>
      </c>
      <c r="B129" s="6" t="inlineStr">
        <is>
          <t>IMP-ALR-07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slack.service.ts</t>
        </is>
      </c>
      <c r="F129" s="6" t="inlineStr">
        <is>
          <t>v3.49.0</t>
        </is>
      </c>
    </row>
    <row r="130">
      <c r="A130" s="6" t="inlineStr">
        <is>
          <t>Notification Slack réseau rétabli</t>
        </is>
      </c>
      <c r="B130" s="6" t="inlineStr">
        <is>
          <t>IMP-ALR-08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alerting.service.ts</t>
        </is>
      </c>
      <c r="F130" s="6" t="inlineStr">
        <is>
          <t>2026</t>
        </is>
      </c>
    </row>
    <row r="131">
      <c r="A131" s="6" t="inlineStr">
        <is>
          <t>Notifications webhook pour alertes</t>
        </is>
      </c>
      <c r="B131" s="6" t="inlineStr">
        <is>
          <t>IMP-ALR-09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webhook.service.ts</t>
        </is>
      </c>
      <c r="F131" s="6" t="inlineStr">
        <is>
          <t>Déc 2025</t>
        </is>
      </c>
    </row>
    <row r="132">
      <c r="A132" s="6" t="inlineStr">
        <is>
          <t>Escalade superviseur pour alertes critiques</t>
        </is>
      </c>
      <c r="B132" s="6" t="inlineStr">
        <is>
          <t>IMP-ALR-10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Déc 2025</t>
        </is>
      </c>
    </row>
    <row r="133">
      <c r="A133" s="6" t="inlineStr">
        <is>
          <t>Anti-flapping cooldown Slack + arrêt propre</t>
        </is>
      </c>
      <c r="B133" s="6" t="inlineStr">
        <is>
          <t>IMP-ALR-11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alerting.service.ts</t>
        </is>
      </c>
      <c r="F133" s="6" t="inlineStr">
        <is>
          <t>2026</t>
        </is>
      </c>
    </row>
    <row r="134">
      <c r="A134" s="6" t="inlineStr">
        <is>
          <t>Détection crash kiosque de bout en bout + lien télécommande cloud</t>
        </is>
      </c>
      <c r="B134" s="6" t="inlineStr">
        <is>
          <t>IMP-ALR-12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kiosk-monitor.service.ts</t>
        </is>
      </c>
      <c r="F134" s="6" t="inlineStr">
        <is>
          <t>2026</t>
        </is>
      </c>
    </row>
    <row r="135">
      <c r="A135" s="6" t="inlineStr">
        <is>
          <t>Pipeline métriques qualité transitions vidéo</t>
        </is>
      </c>
      <c r="B135" s="6" t="inlineStr">
        <is>
          <t>IMP-ALR-13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 Prometheus déconnexion Socket + panels Grafana</t>
        </is>
      </c>
      <c r="B136" s="6" t="inlineStr">
        <is>
          <t>IMP-ALR-14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Métriques pool connexions DB (actif/inactif)</t>
        </is>
      </c>
      <c r="B137" s="6" t="inlineStr">
        <is>
          <t>IMP-ALR-15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metrics.service.ts</t>
        </is>
      </c>
      <c r="F137" s="6" t="inlineStr">
        <is>
          <t>2026</t>
        </is>
      </c>
    </row>
    <row r="138">
      <c r="A138" s="6" t="inlineStr">
        <is>
          <t>Dashboards Grafana Cloud avec auth Bearer sur /metrics</t>
        </is>
      </c>
      <c r="B138" s="6" t="inlineStr">
        <is>
          <t>IMP-ALR-16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metrics.middleware.ts</t>
        </is>
      </c>
      <c r="F138" s="6" t="inlineStr">
        <is>
          <t>2026</t>
        </is>
      </c>
    </row>
    <row r="139">
      <c r="A139" s="6" t="inlineStr">
        <is>
          <t>3 dashboards Grafana restructurés + mémoire/prédictif/facturation</t>
        </is>
      </c>
      <c r="B139" s="6" t="inlineStr">
        <is>
          <t>IMP-ALR-17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grafana/</t>
        </is>
      </c>
      <c r="F139" s="6" t="inlineStr">
        <is>
          <t>2026</t>
        </is>
      </c>
    </row>
    <row r="140">
      <c r="A140" s="6" t="inlineStr">
        <is>
          <t>Lacunes supervision complétées (4 métriques + 3 alertes + kiosque Grafana)</t>
        </is>
      </c>
      <c r="B140" s="6" t="inlineStr">
        <is>
          <t>IMP-ALR-18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monitoring/</t>
        </is>
      </c>
      <c r="F140" s="6" t="inlineStr">
        <is>
          <t>2026</t>
        </is>
      </c>
    </row>
    <row r="141">
      <c r="A141" s="6" t="inlineStr">
        <is>
          <t>Métriques FTP + sync + rate-limit + logs corrélés</t>
        </is>
      </c>
      <c r="B141" s="6" t="inlineStr">
        <is>
          <t>IMP-ALR-19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metrics.service.ts</t>
        </is>
      </c>
      <c r="F141" s="6" t="inlineStr">
        <is>
          <t>2026</t>
        </is>
      </c>
    </row>
    <row r="142">
      <c r="A142" s="6" t="inlineStr">
        <is>
          <t>Journalisation centralisée Logtail/Better Stack</t>
        </is>
      </c>
      <c r="B142" s="6" t="inlineStr">
        <is>
          <t>IMP-ALR-20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logtail.service.ts</t>
        </is>
      </c>
      <c r="F142" s="6" t="inlineStr">
        <is>
          <t>Déc 2025</t>
        </is>
      </c>
    </row>
    <row r="143">
      <c r="A143" s="6" t="inlineStr">
        <is>
          <t>3 seuils d'alerte horaires avec flux de données</t>
        </is>
      </c>
      <c r="B143" s="6" t="inlineStr">
        <is>
          <t>IMP-ALR-21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alerting.service.ts</t>
        </is>
      </c>
      <c r="F143" s="6" t="inlineStr">
        <is>
          <t>2026</t>
        </is>
      </c>
    </row>
    <row r="144">
      <c r="A144" s="6" t="inlineStr">
        <is>
          <t>Smoke tests pour monitoring + métriques réseau Pi</t>
        </is>
      </c>
      <c r="B144" s="6" t="inlineStr">
        <is>
          <t>IMP-ALR-22</t>
        </is>
      </c>
      <c r="C144" s="6" t="inlineStr">
        <is>
          <t>Monitoring &amp; Alertes</t>
        </is>
      </c>
      <c r="D144" s="6" t="inlineStr">
        <is>
          <t>Production</t>
        </is>
      </c>
      <c r="E144" s="6" t="inlineStr">
        <is>
          <t>smoke/</t>
        </is>
      </c>
      <c r="F144" s="6" t="inlineStr">
        <is>
          <t>2026</t>
        </is>
      </c>
    </row>
    <row r="145">
      <c r="A145" s="6" t="inlineStr">
        <is>
          <t>Système de jobs admin (build + deploy + sync + maintenance)</t>
        </is>
      </c>
      <c r="B145" s="6" t="inlineStr">
        <is>
          <t>IMP-ADM-01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admin-ops.service.ts</t>
        </is>
      </c>
      <c r="F145" s="6" t="inlineStr">
        <is>
          <t>2025</t>
        </is>
      </c>
    </row>
    <row r="146">
      <c r="A146" s="6" t="inlineStr">
        <is>
          <t>Télécommande cloud (protégée par PIN + rate-limited)</t>
        </is>
      </c>
      <c r="B146" s="6" t="inlineStr">
        <is>
          <t>IMP-ADM-02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remote.controller.ts</t>
        </is>
      </c>
      <c r="F146" s="6" t="inlineStr">
        <is>
          <t>2025</t>
        </is>
      </c>
    </row>
    <row r="147">
      <c r="A147" s="6" t="inlineStr">
        <is>
          <t>Groupes de sites (regroupement logique)</t>
        </is>
      </c>
      <c r="B147" s="6" t="inlineStr">
        <is>
          <t>IMP-ADM-03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groups.controller.ts</t>
        </is>
      </c>
      <c r="F147" s="6" t="inlineStr">
        <is>
          <t>2025</t>
        </is>
      </c>
    </row>
    <row r="148">
      <c r="A148" s="6" t="inlineStr">
        <is>
          <t>Email transactionnel (alertes + reset + notifications)</t>
        </is>
      </c>
      <c r="B148" s="6" t="inlineStr">
        <is>
          <t>IMP-ADM-04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email.service.ts</t>
        </is>
      </c>
      <c r="F148" s="6" t="inlineStr">
        <is>
          <t>Déc 2025</t>
        </is>
      </c>
    </row>
    <row r="149">
      <c r="A149" s="6" t="inlineStr">
        <is>
          <t>Gestionnaire mémoire (prévention fuites mémoire)</t>
        </is>
      </c>
      <c r="B149" s="6" t="inlineStr">
        <is>
          <t>IMP-ADM-05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memory-manager.service.ts</t>
        </is>
      </c>
      <c r="F149" s="6" t="inlineStr">
        <is>
          <t>2025</t>
        </is>
      </c>
    </row>
    <row r="150">
      <c r="A150" s="6" t="inlineStr">
        <is>
          <t>Cache mémoire (TTL 60s)</t>
        </is>
      </c>
      <c r="B150" s="6" t="inlineStr">
        <is>
          <t>IMP-ADM-06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memory-cache.service.ts</t>
        </is>
      </c>
      <c r="F150" s="6" t="inlineStr">
        <is>
          <t>2025</t>
        </is>
      </c>
    </row>
    <row r="151">
      <c r="A151" s="6" t="inlineStr">
        <is>
          <t>Nettoyage automatique rétention données</t>
        </is>
      </c>
      <c r="B151" s="6" t="inlineStr">
        <is>
          <t>IMP-ADM-07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add-data-retention-cleanup.sql</t>
        </is>
      </c>
      <c r="F151" s="6" t="inlineStr">
        <is>
          <t>2025</t>
        </is>
      </c>
    </row>
    <row r="152">
      <c r="A152" s="6" t="inlineStr">
        <is>
          <t>Slugs URL de site (URLs lisibles)</t>
        </is>
      </c>
      <c r="B152" s="6" t="inlineStr">
        <is>
          <t>IMP-ADM-08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add-hostname-slug.sql</t>
        </is>
      </c>
      <c r="F152" s="6" t="inlineStr">
        <is>
          <t>2025</t>
        </is>
      </c>
    </row>
    <row r="153">
      <c r="A153" s="6" t="inlineStr">
        <is>
          <t>Repository pattern 100% (24 repositories + ESLint bloquant)</t>
        </is>
      </c>
      <c r="B153" s="6" t="inlineStr">
        <is>
          <t>IMP-ADM-09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base.repository.ts + 23 repos</t>
        </is>
      </c>
      <c r="F153" s="6" t="inlineStr">
        <is>
          <t>Déc 2025</t>
        </is>
      </c>
    </row>
    <row r="154">
      <c r="A154" s="6" t="inlineStr">
        <is>
          <t>Documentation OpenAPI Swagger (30+ endpoints)</t>
        </is>
      </c>
      <c r="B154" s="6" t="inlineStr">
        <is>
          <t>IMP-ADM-10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swagger.ts</t>
        </is>
      </c>
      <c r="F154" s="6" t="inlineStr">
        <is>
          <t>Déc 2025</t>
        </is>
      </c>
    </row>
    <row r="155">
      <c r="A155" s="6" t="inlineStr">
        <is>
          <t>Vue carte des sites (Leaflet + statut temps réel)</t>
        </is>
      </c>
      <c r="B155" s="6" t="inlineStr">
        <is>
          <t>IMP-ADM-11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sites-map.component.ts</t>
        </is>
      </c>
      <c r="F155" s="6" t="inlineStr">
        <is>
          <t>2025</t>
        </is>
      </c>
    </row>
    <row r="156">
      <c r="A156" s="6" t="inlineStr">
        <is>
          <t>Bundle de diagnostic (logs kernel dmesg + lsusb + logs étendus 24h)</t>
        </is>
      </c>
      <c r="B156" s="6" t="inlineStr">
        <is>
          <t>IMP-ADM-12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debug-bundle.sh</t>
        </is>
      </c>
      <c r="F156" s="6" t="inlineStr">
        <is>
          <t>2026</t>
        </is>
      </c>
    </row>
    <row r="157">
      <c r="A157" s="6" t="inlineStr">
        <is>
          <t>Générateur QR code avec bouton accès télécommande cloud</t>
        </is>
      </c>
      <c r="B157" s="6" t="inlineStr">
        <is>
          <t>IMP-ADM-13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qr-code.component.ts</t>
        </is>
      </c>
      <c r="F157" s="6" t="inlineStr">
        <is>
          <t>2026</t>
        </is>
      </c>
    </row>
    <row r="158">
      <c r="A158" s="6" t="inlineStr">
        <is>
          <t>Télécommande cloud : vue live TV + monitoring état lecteur</t>
        </is>
      </c>
      <c r="B158" s="6" t="inlineStr">
        <is>
          <t>IMP-ADM-14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remote.controller.ts</t>
        </is>
      </c>
      <c r="F158" s="6" t="inlineStr">
        <is>
          <t>2026</t>
        </is>
      </c>
    </row>
    <row r="159">
      <c r="A159" s="6" t="inlineStr">
        <is>
          <t>Télécommande cloud : affichage licence + indicateur REC</t>
        </is>
      </c>
      <c r="B159" s="6" t="inlineStr">
        <is>
          <t>IMP-ADM-15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remote.component.ts</t>
        </is>
      </c>
      <c r="F159" s="6" t="inlineStr">
        <is>
          <t>2026</t>
        </is>
      </c>
    </row>
    <row r="160">
      <c r="A160" s="6" t="inlineStr">
        <is>
          <t>Télécommande cloud : relais capture écran HTTP</t>
        </is>
      </c>
      <c r="B160" s="6" t="inlineStr">
        <is>
          <t>IMP-ADM-16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remote.controller.ts</t>
        </is>
      </c>
      <c r="F160" s="6" t="inlineStr">
        <is>
          <t>2026</t>
        </is>
      </c>
    </row>
    <row r="161">
      <c r="A161" s="6" t="inlineStr">
        <is>
          <t>Onglet profils dans détail site : interface multi-config</t>
        </is>
      </c>
      <c r="B161" s="6" t="inlineStr">
        <is>
          <t>IMP-ADM-17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profiles.component.ts</t>
        </is>
      </c>
      <c r="F161" s="6" t="inlineStr">
        <is>
          <t>2026</t>
        </is>
      </c>
    </row>
    <row r="162">
      <c r="A162" s="6" t="inlineStr">
        <is>
          <t>Modal de suppression UX + paramètres suppression Pi</t>
        </is>
      </c>
      <c r="B162" s="6" t="inlineStr">
        <is>
          <t>IMP-ADM-18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site-detail.component.ts</t>
        </is>
      </c>
      <c r="F162" s="6" t="inlineStr">
        <is>
          <t>2026</t>
        </is>
      </c>
    </row>
    <row r="163">
      <c r="A163" s="6" t="inlineStr">
        <is>
          <t>Suppression vidéo cloud/Pi (bibliothèque vidéo)</t>
        </is>
      </c>
      <c r="B163" s="6" t="inlineStr">
        <is>
          <t>IMP-ADM-19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content.controller.ts</t>
        </is>
      </c>
      <c r="F163" s="6" t="inlineStr">
        <is>
          <t>2026</t>
        </is>
      </c>
    </row>
    <row r="164">
      <c r="A164" s="6" t="inlineStr">
        <is>
          <t>Planifications récurrentes cron (quotidien/hebdo/mensuel/personnalisé)</t>
        </is>
      </c>
      <c r="B164" s="6" t="inlineStr">
        <is>
          <t>IMP-ADM-20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cron-scheduler.service.ts</t>
        </is>
      </c>
      <c r="F164" s="6" t="inlineStr">
        <is>
          <t>Déc 2025</t>
        </is>
      </c>
    </row>
    <row r="165">
      <c r="A165" s="6" t="inlineStr">
        <is>
          <t>Rate-limit analytics Pi (500 req/min)</t>
        </is>
      </c>
      <c r="B165" s="6" t="inlineStr">
        <is>
          <t>IMP-ADM-21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rate-limit.middleware.ts</t>
        </is>
      </c>
      <c r="F165" s="6" t="inlineStr">
        <is>
          <t>2025</t>
        </is>
      </c>
    </row>
    <row r="166">
      <c r="A166" s="6" t="inlineStr">
        <is>
          <t>Auto-sync versions sous-paquets raspberry à la release</t>
        </is>
      </c>
      <c r="B166" s="6" t="inlineStr">
        <is>
          <t>IMP-ADM-22</t>
        </is>
      </c>
      <c r="C166" s="6" t="inlineStr">
        <is>
          <t>Administration &amp; Infrastructure</t>
        </is>
      </c>
      <c r="D166" s="6" t="inlineStr">
        <is>
          <t>Production</t>
        </is>
      </c>
      <c r="E166" s="6" t="inlineStr">
        <is>
          <t>release.sh</t>
        </is>
      </c>
      <c r="F166" s="6" t="inlineStr">
        <is>
          <t>2026</t>
        </is>
      </c>
    </row>
    <row r="167">
      <c r="A167" s="6" t="inlineStr">
        <is>
          <t>Playlists personnalisées (ordre + aléatoire + pondéré)</t>
        </is>
      </c>
      <c r="B167" s="6" t="inlineStr">
        <is>
          <t>IMP-PLS-01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playlist-schedule.controller.ts</t>
        </is>
      </c>
      <c r="F167" s="6" t="inlineStr">
        <is>
          <t>Déc 2025</t>
        </is>
      </c>
    </row>
    <row r="168">
      <c r="A168" s="6" t="inlineStr">
        <is>
          <t>Programmation horaire (jours + heures + contexte match)</t>
        </is>
      </c>
      <c r="B168" s="6" t="inlineStr">
        <is>
          <t>IMP-PLS-02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cron-scheduler.service.ts</t>
        </is>
      </c>
      <c r="F168" s="6" t="inlineStr">
        <is>
          <t>Déc 2025</t>
        </is>
      </c>
    </row>
    <row r="169">
      <c r="A169" s="6" t="inlineStr">
        <is>
          <t>Planifications récurrentes</t>
        </is>
      </c>
      <c r="B169" s="6" t="inlineStr">
        <is>
          <t>IMP-PLS-03</t>
        </is>
      </c>
      <c r="C169" s="6" t="inlineStr">
        <is>
          <t>Playlists &amp; Programmation</t>
        </is>
      </c>
      <c r="D169" s="6" t="inlineStr">
        <is>
          <t>Production</t>
        </is>
      </c>
      <c r="E169" s="6" t="inlineStr">
        <is>
          <t>add-recurring-schedules.sql</t>
        </is>
      </c>
      <c r="F169" s="6" t="inlineStr">
        <is>
          <t>Déc 2025</t>
        </is>
      </c>
    </row>
    <row r="170">
      <c r="A170" s="6" t="inlineStr">
        <is>
          <t>Gestion utilisateurs multi-tenant (super_admin &gt; admin &gt; operator &gt; viewer)</t>
        </is>
      </c>
      <c r="B170" s="6" t="inlineStr">
        <is>
          <t>IMP-USR-01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users.controller.ts</t>
        </is>
      </c>
      <c r="F170" s="6" t="inlineStr">
        <is>
          <t>2025</t>
        </is>
      </c>
    </row>
    <row r="171">
      <c r="A171" s="6" t="inlineStr">
        <is>
          <t>Rôles sponsor/annonceur + agence avec enrichissement JWT</t>
        </is>
      </c>
      <c r="B171" s="6" t="inlineStr">
        <is>
          <t>IMP-USR-02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auth.service.ts</t>
        </is>
      </c>
      <c r="F171" s="6" t="inlineStr">
        <is>
          <t>Déc 2025</t>
        </is>
      </c>
    </row>
    <row r="172">
      <c r="A172" s="6" t="inlineStr">
        <is>
          <t>Portail agences : gestion multi-annonceurs</t>
        </is>
      </c>
      <c r="B172" s="6" t="inlineStr">
        <is>
          <t>IMP-USR-03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agency.controller.ts</t>
        </is>
      </c>
      <c r="F172" s="6" t="inlineStr">
        <is>
          <t>Déc 2025</t>
        </is>
      </c>
    </row>
    <row r="173">
      <c r="A173" s="6" t="inlineStr">
        <is>
          <t>Page gestion utilisateurs (panel admin)</t>
        </is>
      </c>
      <c r="B173" s="6" t="inlineStr">
        <is>
          <t>IMP-USR-04</t>
        </is>
      </c>
      <c r="C173" s="6" t="inlineStr">
        <is>
          <t>Gestion Utilisateurs &amp; Rôles</t>
        </is>
      </c>
      <c r="D173" s="6" t="inlineStr">
        <is>
          <t>Production</t>
        </is>
      </c>
      <c r="E173" s="6" t="inlineStr">
        <is>
          <t>users.component.ts</t>
        </is>
      </c>
      <c r="F173" s="6" t="inlineStr">
        <is>
          <t>Déc 2025</t>
        </is>
      </c>
    </row>
    <row r="174">
      <c r="A174" s="6" t="inlineStr">
        <is>
          <t>Documentation consolidée (199 fichiers + point d'entrée 00-START-HERE.md)</t>
        </is>
      </c>
      <c r="B174" s="6" t="inlineStr">
        <is>
          <t>IMP-DOC-01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</t>
        </is>
      </c>
      <c r="F174" s="6" t="inlineStr">
        <is>
          <t>Déc 2025</t>
        </is>
      </c>
    </row>
    <row r="175">
      <c r="A175" s="6" t="inlineStr">
        <is>
          <t>Guide personnalisation overlay</t>
        </is>
      </c>
      <c r="B175" s="6" t="inlineStr">
        <is>
          <t>IMP-DOC-02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docs/guides/</t>
        </is>
      </c>
      <c r="F175" s="6" t="inlineStr">
        <is>
          <t>Déc 2025</t>
        </is>
      </c>
    </row>
    <row r="176">
      <c r="A176" s="6" t="inlineStr">
        <is>
          <t>Documentation système sponsors</t>
        </is>
      </c>
      <c r="B176" s="6" t="inlineStr">
        <is>
          <t>IMP-DOC-03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docs/features/</t>
        </is>
      </c>
      <c r="F176" s="6" t="inlineStr">
        <is>
          <t>Déc 2025</t>
        </is>
      </c>
    </row>
    <row r="177">
      <c r="A177" s="6" t="inlineStr">
        <is>
          <t>Guide correction hotspot Android</t>
        </is>
      </c>
      <c r="B177" s="6" t="inlineStr">
        <is>
          <t>IMP-DOC-04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environnements WiFi mesh</t>
        </is>
      </c>
      <c r="B178" s="6" t="inlineStr">
        <is>
          <t>IMP-DOC-05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</t>
        </is>
      </c>
      <c r="F178" s="6" t="inlineStr">
        <is>
          <t>Jan 2026</t>
        </is>
      </c>
    </row>
    <row r="179">
      <c r="A179" s="6" t="inlineStr">
        <is>
          <t>Guide stabilité WiFi USB</t>
        </is>
      </c>
      <c r="B179" s="6" t="inlineStr">
        <is>
          <t>IMP-DOC-06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docs/guides/WIFI_USB_GUIDE.md</t>
        </is>
      </c>
      <c r="F179" s="6" t="inlineStr">
        <is>
          <t>Fév 2026</t>
        </is>
      </c>
    </row>
    <row r="180">
      <c r="A180" s="6" t="inlineStr">
        <is>
          <t>Documentation framework SAFe complète</t>
        </is>
      </c>
      <c r="B180" s="6" t="inlineStr">
        <is>
          <t>IMP-DOC-07</t>
        </is>
      </c>
      <c r="C180" s="6" t="inlineStr">
        <is>
          <t>Documentation &amp; Qualité</t>
        </is>
      </c>
      <c r="D180" s="6" t="inlineStr">
        <is>
          <t>Production</t>
        </is>
      </c>
      <c r="E180" s="6" t="inlineStr">
        <is>
          <t>docs/safe/</t>
        </is>
      </c>
      <c r="F180" s="6" t="inlineStr">
        <is>
          <t>Fév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2026-02-19T16:38:14Z</dcterms:created>
  <dcterms:modified xsi:type="dcterms:W3CDTF">2026-02-19T16:38:14Z</dcterms:modified>
</cp:coreProperties>
</file>