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Glossaire" sheetId="2" state="visible" r:id="rId2"/>
    <sheet xmlns:r="http://schemas.openxmlformats.org/officeDocument/2006/relationships" name="Vision &amp; OKR" sheetId="3" state="visible" r:id="rId3"/>
    <sheet xmlns:r="http://schemas.openxmlformats.org/officeDocument/2006/relationships" name="Value Streams" sheetId="4" state="visible" r:id="rId4"/>
    <sheet xmlns:r="http://schemas.openxmlformats.org/officeDocument/2006/relationships" name="Epics &amp; LBC" sheetId="5" state="visible" r:id="rId5"/>
    <sheet xmlns:r="http://schemas.openxmlformats.org/officeDocument/2006/relationships" name="Features &amp; US" sheetId="6" state="visible" r:id="rId6"/>
    <sheet xmlns:r="http://schemas.openxmlformats.org/officeDocument/2006/relationships" name="PI Objectives" sheetId="7" state="visible" r:id="rId7"/>
    <sheet xmlns:r="http://schemas.openxmlformats.org/officeDocument/2006/relationships" name="Sprint Tracker" sheetId="8" state="visible" r:id="rId8"/>
    <sheet xmlns:r="http://schemas.openxmlformats.org/officeDocument/2006/relationships" name="ROAM" sheetId="9" state="visible" r:id="rId9"/>
    <sheet xmlns:r="http://schemas.openxmlformats.org/officeDocument/2006/relationships" name="Flow Metrics" sheetId="10" state="visible" r:id="rId10"/>
    <sheet xmlns:r="http://schemas.openxmlformats.org/officeDocument/2006/relationships" name="Implemented Backlog" sheetId="11" state="visible" r:id="rId11"/>
  </sheets>
  <definedNames>
    <definedName name="_xlnm._FilterDatabase" localSheetId="4" hidden="1">'Epics &amp; LBC'!$A$3:$I$26</definedName>
    <definedName name="_xlnm._FilterDatabase" localSheetId="10" hidden="1">'Implemented Backlog'!$A$4:$F$226</definedName>
  </definedNames>
  <calcPr calcId="124519" calcMode="auto" fullCalcOnLoad="1" refMode="A1" iterate="0" iterateCount="100" iterateDelta="0.0001"/>
</workbook>
</file>

<file path=xl/styles.xml><?xml version="1.0" encoding="utf-8"?>
<styleSheet xmlns="http://schemas.openxmlformats.org/spreadsheetml/2006/main">
  <numFmts count="2">
    <numFmt numFmtId="164" formatCode="0.0%"/>
    <numFmt numFmtId="165" formatCode="yyyy\-mm\-dd"/>
  </numFmts>
  <fonts count="27">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color theme="1"/>
      <sz val="11"/>
    </font>
    <font>
      <name val="Cambria"/>
      <charset val="1"/>
      <family val="0"/>
      <color rgb="FF0563C1"/>
      <sz val="11"/>
      <u val="single"/>
    </font>
    <font>
      <name val="Arial"/>
      <charset val="1"/>
      <family val="0"/>
      <b val="1"/>
      <sz val="12"/>
    </font>
    <font>
      <name val="Arial"/>
      <charset val="1"/>
      <family val="0"/>
      <b val="1"/>
      <sz val="11"/>
    </font>
    <font>
      <name val="Arial"/>
      <charset val="1"/>
      <family val="0"/>
      <sz val="11"/>
    </font>
    <font>
      <name val="Arial"/>
      <charset val="1"/>
      <family val="0"/>
      <color rgb="FF0000FF"/>
      <sz val="11"/>
    </font>
    <font>
      <name val="Arial"/>
      <charset val="1"/>
      <family val="0"/>
      <b val="1"/>
      <color rgb="FFFFFFFF"/>
      <sz val="11"/>
    </font>
    <font>
      <name val="Arial"/>
      <charset val="1"/>
      <family val="0"/>
      <b val="1"/>
      <sz val="10"/>
    </font>
    <font>
      <name val="Arial"/>
      <charset val="1"/>
      <family val="0"/>
      <color rgb="FF0563C1"/>
      <sz val="9"/>
      <u val="single"/>
    </font>
    <font>
      <name val="Calibri"/>
      <family val="2"/>
      <b val="1"/>
      <color rgb="FF000000"/>
      <sz val="18"/>
    </font>
    <font>
      <name val="Calibri"/>
      <family val="2"/>
      <color rgb="FF000000"/>
      <sz val="10"/>
    </font>
    <font>
      <name val="Calibri"/>
      <family val="2"/>
      <b val="1"/>
      <color rgb="FF000000"/>
      <sz val="10"/>
    </font>
    <font>
      <name val="Arial"/>
      <charset val="1"/>
      <family val="0"/>
      <sz val="10"/>
    </font>
    <font>
      <name val="Arial"/>
      <charset val="1"/>
      <family val="0"/>
      <b val="1"/>
      <color rgb="FFFFFFFF"/>
      <sz val="14"/>
    </font>
    <font>
      <name val="Arial"/>
      <charset val="1"/>
      <family val="0"/>
      <b val="1"/>
      <color rgb="FFFFFFFF"/>
      <sz val="12"/>
    </font>
    <font>
      <name val="Arial"/>
      <charset val="1"/>
      <family val="0"/>
      <i val="1"/>
      <sz val="10"/>
    </font>
    <font>
      <name val="Arial"/>
      <charset val="1"/>
      <family val="0"/>
      <b val="1"/>
      <sz val="9"/>
    </font>
    <font>
      <name val="Arial"/>
      <charset val="1"/>
      <family val="0"/>
      <sz val="9"/>
    </font>
    <font>
      <name val="Cambria"/>
      <charset val="1"/>
      <family val="0"/>
      <b val="1"/>
      <sz val="11"/>
    </font>
    <font>
      <name val="Arial"/>
      <charset val="1"/>
      <family val="0"/>
      <i val="1"/>
      <color rgb="FF333333"/>
      <sz val="10"/>
    </font>
    <font>
      <b val="1"/>
      <sz val="12"/>
    </font>
    <font>
      <b val="1"/>
    </font>
  </fonts>
  <fills count="32">
    <fill>
      <patternFill/>
    </fill>
    <fill>
      <patternFill patternType="gray125"/>
    </fill>
    <fill>
      <patternFill patternType="solid">
        <fgColor rgb="FFE2EFDA"/>
        <bgColor rgb="FFE7E6E6"/>
      </patternFill>
    </fill>
    <fill>
      <patternFill patternType="solid">
        <fgColor rgb="FFD9E1F2"/>
        <bgColor rgb="FFD9E2F3"/>
      </patternFill>
    </fill>
    <fill>
      <patternFill patternType="solid">
        <fgColor rgb="FF1F4E78"/>
        <bgColor rgb="FF2F5496"/>
      </patternFill>
    </fill>
    <fill>
      <patternFill patternType="solid">
        <fgColor rgb="FF2F5496"/>
        <bgColor rgb="FF1F4E78"/>
      </patternFill>
    </fill>
    <fill>
      <patternFill patternType="solid">
        <fgColor rgb="FFE7E6E6"/>
        <bgColor rgb="FFE2EFDA"/>
      </patternFill>
    </fill>
    <fill>
      <patternFill patternType="solid">
        <fgColor rgb="FFF2F2F2"/>
        <bgColor rgb="FFF9F9F9"/>
      </patternFill>
    </fill>
    <fill>
      <patternFill patternType="solid">
        <fgColor rgb="FFD9E2F3"/>
        <bgColor rgb="FFD9E1F2"/>
      </patternFill>
    </fill>
    <fill>
      <patternFill patternType="solid">
        <fgColor rgb="FFFCE4D6"/>
        <bgColor rgb="FFE7E6E6"/>
      </patternFill>
    </fill>
    <fill>
      <patternFill patternType="solid">
        <fgColor rgb="FFD3D3D3"/>
        <bgColor rgb="FFD0D0D0"/>
      </patternFill>
    </fill>
    <fill>
      <patternFill patternType="solid">
        <fgColor rgb="FF4472C4"/>
        <bgColor rgb="FF2E75B6"/>
      </patternFill>
    </fill>
    <fill>
      <patternFill patternType="solid">
        <fgColor rgb="FF00B050"/>
        <bgColor rgb="FF008000"/>
      </patternFill>
    </fill>
    <fill>
      <patternFill patternType="solid">
        <fgColor rgb="FFFFEB9C"/>
        <bgColor rgb="FFFCE4D6"/>
      </patternFill>
    </fill>
    <fill>
      <patternFill patternType="solid">
        <fgColor rgb="FF203864"/>
        <bgColor rgb="FF1F4E78"/>
      </patternFill>
    </fill>
    <fill>
      <patternFill patternType="solid">
        <fgColor rgb="FFC6EFCE"/>
        <bgColor rgb="FFE2EFDA"/>
      </patternFill>
    </fill>
    <fill>
      <patternFill patternType="solid">
        <fgColor rgb="FFFFC7CE"/>
        <bgColor rgb="FFFCE4D6"/>
      </patternFill>
    </fill>
    <fill>
      <patternFill patternType="solid">
        <fgColor rgb="FFF4B084"/>
        <bgColor rgb="FFFFC7CE"/>
      </patternFill>
    </fill>
    <fill>
      <patternFill patternType="solid">
        <fgColor rgb="FFBDD7EE"/>
        <bgColor rgb="FFD6DCE4"/>
      </patternFill>
    </fill>
    <fill>
      <patternFill patternType="solid">
        <fgColor rgb="FFD6DCE4"/>
        <bgColor rgb="FFD9D9D9"/>
      </patternFill>
    </fill>
    <fill>
      <patternFill patternType="solid">
        <fgColor rgb="FF70AD47"/>
        <bgColor rgb="FF9BBB59"/>
      </patternFill>
    </fill>
    <fill>
      <patternFill patternType="solid">
        <fgColor rgb="FFBF8F00"/>
        <bgColor rgb="FFED7D31"/>
      </patternFill>
    </fill>
    <fill>
      <patternFill patternType="solid">
        <fgColor rgb="FFC55A11"/>
        <bgColor rgb="FFC0504D"/>
      </patternFill>
    </fill>
    <fill>
      <patternFill patternType="solid">
        <fgColor rgb="FF843C0C"/>
        <bgColor rgb="FF7F6000"/>
      </patternFill>
    </fill>
    <fill>
      <patternFill patternType="solid">
        <fgColor rgb="FFA64D79"/>
        <bgColor rgb="FFC0504D"/>
      </patternFill>
    </fill>
    <fill>
      <patternFill patternType="solid">
        <fgColor rgb="FF44546A"/>
        <bgColor rgb="FF2F5496"/>
      </patternFill>
    </fill>
    <fill>
      <patternFill patternType="solid">
        <fgColor rgb="FF2E75B6"/>
        <bgColor rgb="FF4472C4"/>
      </patternFill>
    </fill>
    <fill>
      <patternFill patternType="solid">
        <fgColor rgb="FFED7D31"/>
        <bgColor rgb="FFBF8F00"/>
      </patternFill>
    </fill>
    <fill>
      <patternFill patternType="solid">
        <fgColor rgb="FF548235"/>
        <bgColor rgb="FF70AD47"/>
      </patternFill>
    </fill>
    <fill>
      <patternFill patternType="solid">
        <fgColor rgb="FF7F6000"/>
        <bgColor rgb="FF843C0C"/>
      </patternFill>
    </fill>
    <fill>
      <patternFill patternType="solid">
        <fgColor rgb="00D3D3D3"/>
        <bgColor rgb="00D3D3D3"/>
      </patternFill>
    </fill>
    <fill>
      <patternFill patternType="solid">
        <fgColor rgb="00CCCCCC"/>
        <bgColor rgb="00CCCCCC"/>
      </patternFill>
    </fill>
  </fills>
  <borders count="7">
    <border>
      <left/>
      <right/>
      <top/>
      <bottom/>
      <diagonal/>
    </border>
    <border>
      <left style="thin">
        <color rgb="FFD0D0D0"/>
      </left>
      <right style="thin">
        <color rgb="FFD0D0D0"/>
      </right>
      <top style="thin">
        <color rgb="FFD0D0D0"/>
      </top>
      <bottom style="thin">
        <color rgb="FFD0D0D0"/>
      </bottom>
      <diagonal/>
    </border>
    <border>
      <left style="thin"/>
      <right style="thin"/>
      <top style="thin"/>
      <bottom style="thin"/>
      <diagonal/>
    </border>
    <border>
      <left/>
      <right/>
      <top style="thin">
        <color rgb="FFD0D0D0"/>
      </top>
      <bottom/>
      <diagonal/>
    </border>
    <border>
      <left/>
      <right style="thin">
        <color rgb="FFD0D0D0"/>
      </right>
      <top style="thin">
        <color rgb="FFD0D0D0"/>
      </top>
      <bottom/>
      <diagonal/>
    </border>
    <border>
      <left/>
      <right/>
      <top style="thin">
        <color rgb="FFD0D0D0"/>
      </top>
      <bottom style="thin">
        <color rgb="FFD0D0D0"/>
      </bottom>
      <diagonal/>
    </border>
    <border>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2" borderId="0" applyAlignment="1" pivotButton="0" quotePrefix="0" xfId="0">
      <alignment horizontal="general" vertical="bottom"/>
    </xf>
    <xf numFmtId="0" fontId="8" fillId="3" borderId="0" applyAlignment="1" pivotButton="0" quotePrefix="0" xfId="0">
      <alignment horizontal="general" vertical="bottom"/>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7" fillId="0" borderId="0" applyAlignment="1" pivotButton="0" quotePrefix="0" xfId="0">
      <alignment horizontal="general" vertical="bottom"/>
    </xf>
    <xf numFmtId="0" fontId="17" fillId="0" borderId="0" applyAlignment="1" pivotButton="0" quotePrefix="0" xfId="0">
      <alignment horizontal="general" vertical="bottom"/>
    </xf>
    <xf numFmtId="0" fontId="18" fillId="4" borderId="0" applyAlignment="1" pivotButton="0" quotePrefix="0" xfId="0">
      <alignment horizontal="center" vertical="center" wrapText="1"/>
    </xf>
    <xf numFmtId="0" fontId="19" fillId="5" borderId="0" applyAlignment="1" pivotButton="0" quotePrefix="0" xfId="0">
      <alignment horizontal="left" vertical="center"/>
    </xf>
    <xf numFmtId="0" fontId="20" fillId="0" borderId="0" applyAlignment="1" pivotButton="0" quotePrefix="0" xfId="0">
      <alignment horizontal="left" vertical="center" wrapText="1"/>
    </xf>
    <xf numFmtId="0" fontId="21" fillId="6" borderId="1" applyAlignment="1" pivotButton="0" quotePrefix="0" xfId="0">
      <alignment horizontal="center" vertical="center" wrapText="1"/>
    </xf>
    <xf numFmtId="0" fontId="22" fillId="7" borderId="1" applyAlignment="1" pivotButton="0" quotePrefix="0" xfId="0">
      <alignment horizontal="left" vertical="center" wrapText="1"/>
    </xf>
    <xf numFmtId="0" fontId="22" fillId="0" borderId="1" applyAlignment="1" pivotButton="0" quotePrefix="0" xfId="0">
      <alignment horizontal="left" vertical="center" wrapText="1"/>
    </xf>
    <xf numFmtId="0" fontId="22" fillId="2" borderId="1" applyAlignment="1" pivotButton="0" quotePrefix="0" xfId="0">
      <alignment horizontal="left" vertical="center" wrapText="1"/>
    </xf>
    <xf numFmtId="0" fontId="22" fillId="8" borderId="1" applyAlignment="1" pivotButton="0" quotePrefix="0" xfId="0">
      <alignment horizontal="left" vertical="center" wrapText="1"/>
    </xf>
    <xf numFmtId="0" fontId="22" fillId="9" borderId="1" applyAlignment="1" pivotButton="0" quotePrefix="0" xfId="0">
      <alignment horizontal="left" vertical="center" wrapText="1"/>
    </xf>
    <xf numFmtId="0" fontId="6" fillId="0" borderId="0" applyAlignment="1" pivotButton="0" quotePrefix="0" xfId="0">
      <alignment horizontal="general" vertical="bottom"/>
    </xf>
    <xf numFmtId="0" fontId="23" fillId="10" borderId="0" applyAlignment="1" pivotButton="0" quotePrefix="0" xfId="0">
      <alignment horizontal="general" vertical="bottom"/>
    </xf>
    <xf numFmtId="0" fontId="22" fillId="0" borderId="0" applyAlignment="1" pivotButton="0" quotePrefix="0" xfId="0">
      <alignment horizontal="general" vertical="bottom"/>
    </xf>
    <xf numFmtId="0" fontId="9" fillId="11" borderId="0" applyAlignment="1" pivotButton="0" quotePrefix="0" xfId="0">
      <alignment horizontal="general" vertical="bottom"/>
    </xf>
    <xf numFmtId="0" fontId="9" fillId="12" borderId="0" applyAlignment="1" pivotButton="0" quotePrefix="0" xfId="0">
      <alignment horizontal="general" vertical="bottom"/>
    </xf>
    <xf numFmtId="0" fontId="9" fillId="10" borderId="0" applyAlignment="1" pivotButton="0" quotePrefix="0" xfId="0">
      <alignment horizontal="general" vertical="bottom"/>
    </xf>
    <xf numFmtId="0" fontId="22" fillId="13" borderId="0" applyAlignment="1" pivotButton="0" quotePrefix="0" xfId="0">
      <alignment horizontal="general" vertical="bottom"/>
    </xf>
    <xf numFmtId="0" fontId="11" fillId="14" borderId="0" applyAlignment="1" pivotButton="0" quotePrefix="0" xfId="0">
      <alignment horizontal="general" vertical="bottom"/>
    </xf>
    <xf numFmtId="0" fontId="22" fillId="0" borderId="2" applyAlignment="1" pivotButton="0" quotePrefix="0" xfId="0">
      <alignment horizontal="general" vertical="bottom"/>
    </xf>
    <xf numFmtId="0" fontId="22" fillId="15" borderId="2" applyAlignment="1" pivotButton="0" quotePrefix="0" xfId="0">
      <alignment horizontal="general" vertical="bottom"/>
    </xf>
    <xf numFmtId="0" fontId="22" fillId="13" borderId="2" applyAlignment="1" pivotButton="0" quotePrefix="0" xfId="0">
      <alignment horizontal="general" vertical="bottom"/>
    </xf>
    <xf numFmtId="0" fontId="11" fillId="4" borderId="0" applyAlignment="1" pivotButton="0" quotePrefix="0" xfId="0">
      <alignment horizontal="center" vertical="center"/>
    </xf>
    <xf numFmtId="0" fontId="22" fillId="16" borderId="2" applyAlignment="1" pivotButton="0" quotePrefix="0" xfId="0">
      <alignment horizontal="general" vertical="bottom"/>
    </xf>
    <xf numFmtId="0" fontId="23" fillId="0" borderId="0" applyAlignment="1" pivotButton="0" quotePrefix="0" xfId="0">
      <alignment horizontal="general" vertical="bottom"/>
    </xf>
    <xf numFmtId="0" fontId="12" fillId="3" borderId="0" applyAlignment="1" pivotButton="0" quotePrefix="0" xfId="0">
      <alignment horizontal="general" vertical="bottom"/>
    </xf>
    <xf numFmtId="1" fontId="5" fillId="0" borderId="0" applyAlignment="1" pivotButton="0" quotePrefix="0" xfId="0">
      <alignment horizontal="general" vertical="bottom"/>
    </xf>
    <xf numFmtId="9" fontId="5" fillId="0" borderId="0" applyAlignment="1" pivotButton="0" quotePrefix="0" xfId="0">
      <alignment horizontal="general" vertical="bottom"/>
    </xf>
    <xf numFmtId="164" fontId="11" fillId="4" borderId="0" applyAlignment="1" pivotButton="0" quotePrefix="0" xfId="0">
      <alignment horizontal="general" vertical="bottom"/>
    </xf>
    <xf numFmtId="164" fontId="17" fillId="0" borderId="0" applyAlignment="1" pivotButton="0" quotePrefix="0" xfId="0">
      <alignment horizontal="general" vertical="bottom"/>
    </xf>
    <xf numFmtId="0" fontId="17" fillId="15" borderId="0" applyAlignment="1" pivotButton="0" quotePrefix="0" xfId="0">
      <alignment horizontal="general" vertical="bottom"/>
    </xf>
    <xf numFmtId="165" fontId="17" fillId="0" borderId="0" applyAlignment="1" pivotButton="0" quotePrefix="0" xfId="0">
      <alignment horizontal="general" vertical="bottom"/>
    </xf>
    <xf numFmtId="0" fontId="17" fillId="13" borderId="0" applyAlignment="1" pivotButton="0" quotePrefix="0" xfId="0">
      <alignment horizontal="general" vertical="bottom"/>
    </xf>
    <xf numFmtId="0" fontId="17" fillId="17" borderId="0" applyAlignment="1" pivotButton="0" quotePrefix="0" xfId="0">
      <alignment horizontal="general" vertical="bottom"/>
    </xf>
    <xf numFmtId="0" fontId="17" fillId="18" borderId="0" applyAlignment="1" pivotButton="0" quotePrefix="0" xfId="0">
      <alignment horizontal="general" vertical="bottom"/>
    </xf>
    <xf numFmtId="0" fontId="6" fillId="4" borderId="0" applyAlignment="1" pivotButton="0" quotePrefix="0" xfId="0">
      <alignment horizontal="center" vertical="center" wrapText="1"/>
    </xf>
    <xf numFmtId="0" fontId="24" fillId="19" borderId="0" applyAlignment="1" pivotButton="0" quotePrefix="0" xfId="0">
      <alignment horizontal="center" vertical="center" wrapText="1"/>
    </xf>
    <xf numFmtId="0" fontId="11" fillId="4" borderId="0" applyAlignment="1" pivotButton="0" quotePrefix="0" xfId="0">
      <alignment horizontal="left" vertical="center" wrapText="1"/>
    </xf>
    <xf numFmtId="0" fontId="9" fillId="12" borderId="1" applyAlignment="1" pivotButton="0" quotePrefix="0" xfId="0">
      <alignment horizontal="left" vertical="center" wrapText="1"/>
    </xf>
    <xf numFmtId="0" fontId="11" fillId="20" borderId="0" applyAlignment="1" pivotButton="0" quotePrefix="0" xfId="0">
      <alignment horizontal="left" vertical="center" wrapText="1"/>
    </xf>
    <xf numFmtId="0" fontId="11" fillId="21" borderId="0" applyAlignment="1" pivotButton="0" quotePrefix="0" xfId="0">
      <alignment horizontal="left" vertical="center" wrapText="1"/>
    </xf>
    <xf numFmtId="0" fontId="11" fillId="22" borderId="0" applyAlignment="1" pivotButton="0" quotePrefix="0" xfId="0">
      <alignment horizontal="left" vertical="center" wrapText="1"/>
    </xf>
    <xf numFmtId="0" fontId="11" fillId="23" borderId="0" applyAlignment="1" pivotButton="0" quotePrefix="0" xfId="0">
      <alignment horizontal="left" vertical="center" wrapText="1"/>
    </xf>
    <xf numFmtId="0" fontId="11" fillId="24" borderId="0" applyAlignment="1" pivotButton="0" quotePrefix="0" xfId="0">
      <alignment horizontal="left" vertical="center" wrapText="1"/>
    </xf>
    <xf numFmtId="0" fontId="9" fillId="11" borderId="1" applyAlignment="1" pivotButton="0" quotePrefix="0" xfId="0">
      <alignment horizontal="left" vertical="center" wrapText="1"/>
    </xf>
    <xf numFmtId="0" fontId="11" fillId="25" borderId="0" applyAlignment="1" pivotButton="0" quotePrefix="0" xfId="0">
      <alignment horizontal="left" vertical="center" wrapText="1"/>
    </xf>
    <xf numFmtId="0" fontId="11" fillId="26" borderId="0" applyAlignment="1" pivotButton="0" quotePrefix="0" xfId="0">
      <alignment horizontal="left" vertical="center" wrapText="1"/>
    </xf>
    <xf numFmtId="0" fontId="11" fillId="27" borderId="0" applyAlignment="1" pivotButton="0" quotePrefix="0" xfId="0">
      <alignment horizontal="left" vertical="center" wrapText="1"/>
    </xf>
    <xf numFmtId="0" fontId="11" fillId="5" borderId="0" applyAlignment="1" pivotButton="0" quotePrefix="0" xfId="0">
      <alignment horizontal="left" vertical="center" wrapText="1"/>
    </xf>
    <xf numFmtId="0" fontId="11" fillId="28" borderId="0" applyAlignment="1" pivotButton="0" quotePrefix="0" xfId="0">
      <alignment horizontal="left" vertical="center" wrapText="1"/>
    </xf>
    <xf numFmtId="0" fontId="11" fillId="29" borderId="0" applyAlignment="1" pivotButton="0" quotePrefix="0" xfId="0">
      <alignment horizontal="left" vertical="center" wrapText="1"/>
    </xf>
    <xf numFmtId="0" fontId="5" fillId="0" borderId="0" applyAlignment="1" pivotButton="0" quotePrefix="0" xfId="0">
      <alignment horizontal="general" vertical="bottom"/>
    </xf>
    <xf numFmtId="0" fontId="11" fillId="11" borderId="0" applyAlignment="1" pivotButton="0" quotePrefix="0" xfId="0">
      <alignment horizontal="left" vertical="center" wrapText="1"/>
    </xf>
    <xf numFmtId="0" fontId="19" fillId="4" borderId="0" applyAlignment="1" pivotButton="0" quotePrefix="0" xfId="0">
      <alignment horizontal="left" vertical="center"/>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2" borderId="0" applyAlignment="1" pivotButton="0" quotePrefix="0" xfId="0">
      <alignment horizontal="general" vertical="bottom"/>
    </xf>
    <xf numFmtId="0" fontId="8" fillId="3" borderId="0" applyAlignment="1" pivotButton="0" quotePrefix="0" xfId="0">
      <alignment horizontal="general" vertical="bottom"/>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7" fillId="0" borderId="0" applyAlignment="1" pivotButton="0" quotePrefix="0" xfId="0">
      <alignment horizontal="general" vertical="bottom"/>
    </xf>
    <xf numFmtId="0" fontId="17" fillId="0" borderId="0" applyAlignment="1" pivotButton="0" quotePrefix="0" xfId="0">
      <alignment horizontal="general" vertical="bottom"/>
    </xf>
    <xf numFmtId="0" fontId="18" fillId="4" borderId="0" applyAlignment="1" pivotButton="0" quotePrefix="0" xfId="0">
      <alignment horizontal="center" vertical="center" wrapText="1"/>
    </xf>
    <xf numFmtId="0" fontId="19" fillId="5" borderId="0" applyAlignment="1" pivotButton="0" quotePrefix="0" xfId="0">
      <alignment horizontal="left" vertical="center"/>
    </xf>
    <xf numFmtId="0" fontId="20" fillId="0" borderId="0" applyAlignment="1" pivotButton="0" quotePrefix="0" xfId="0">
      <alignment horizontal="left" vertical="center" wrapText="1"/>
    </xf>
    <xf numFmtId="0" fontId="21" fillId="6" borderId="1" applyAlignment="1" pivotButton="0" quotePrefix="0" xfId="0">
      <alignment horizontal="center" vertical="center" wrapText="1"/>
    </xf>
    <xf numFmtId="0" fontId="22" fillId="7" borderId="1" applyAlignment="1" pivotButton="0" quotePrefix="0" xfId="0">
      <alignment horizontal="left" vertical="center" wrapText="1"/>
    </xf>
    <xf numFmtId="0" fontId="22" fillId="0" borderId="1" applyAlignment="1" pivotButton="0" quotePrefix="0" xfId="0">
      <alignment horizontal="left" vertical="center" wrapText="1"/>
    </xf>
    <xf numFmtId="0" fontId="22" fillId="2" borderId="1" applyAlignment="1" pivotButton="0" quotePrefix="0" xfId="0">
      <alignment horizontal="left" vertical="center" wrapText="1"/>
    </xf>
    <xf numFmtId="0" fontId="22" fillId="8" borderId="1" applyAlignment="1" pivotButton="0" quotePrefix="0" xfId="0">
      <alignment horizontal="left" vertical="center" wrapText="1"/>
    </xf>
    <xf numFmtId="0" fontId="22" fillId="9" borderId="1" applyAlignment="1" pivotButton="0" quotePrefix="0" xfId="0">
      <alignment horizontal="left" vertical="center" wrapText="1"/>
    </xf>
    <xf numFmtId="0" fontId="23" fillId="10" borderId="0" applyAlignment="1" pivotButton="0" quotePrefix="0" xfId="0">
      <alignment horizontal="general" vertical="bottom"/>
    </xf>
    <xf numFmtId="0" fontId="22" fillId="0" borderId="0" applyAlignment="1" pivotButton="0" quotePrefix="0" xfId="0">
      <alignment horizontal="general" vertical="bottom"/>
    </xf>
    <xf numFmtId="0" fontId="9" fillId="11" borderId="0" applyAlignment="1" pivotButton="0" quotePrefix="0" xfId="0">
      <alignment horizontal="general" vertical="bottom"/>
    </xf>
    <xf numFmtId="0" fontId="9" fillId="12" borderId="0" applyAlignment="1" pivotButton="0" quotePrefix="0" xfId="0">
      <alignment horizontal="general" vertical="bottom"/>
    </xf>
    <xf numFmtId="0" fontId="9" fillId="10" borderId="0" applyAlignment="1" pivotButton="0" quotePrefix="0" xfId="0">
      <alignment horizontal="general" vertical="bottom"/>
    </xf>
    <xf numFmtId="0" fontId="22" fillId="13" borderId="0" applyAlignment="1" pivotButton="0" quotePrefix="0" xfId="0">
      <alignment horizontal="general" vertical="bottom"/>
    </xf>
    <xf numFmtId="0" fontId="11" fillId="14" borderId="0" applyAlignment="1" pivotButton="0" quotePrefix="0" xfId="0">
      <alignment horizontal="general" vertical="bottom"/>
    </xf>
    <xf numFmtId="0" fontId="22" fillId="0" borderId="2" applyAlignment="1" pivotButton="0" quotePrefix="0" xfId="0">
      <alignment horizontal="general" vertical="bottom"/>
    </xf>
    <xf numFmtId="0" fontId="22" fillId="15" borderId="2" applyAlignment="1" pivotButton="0" quotePrefix="0" xfId="0">
      <alignment horizontal="general" vertical="bottom"/>
    </xf>
    <xf numFmtId="0" fontId="22" fillId="13" borderId="2" applyAlignment="1" pivotButton="0" quotePrefix="0" xfId="0">
      <alignment horizontal="general" vertical="bottom"/>
    </xf>
    <xf numFmtId="0" fontId="11" fillId="4" borderId="0" applyAlignment="1" pivotButton="0" quotePrefix="0" xfId="0">
      <alignment horizontal="center" vertical="center"/>
    </xf>
    <xf numFmtId="0" fontId="22" fillId="16" borderId="2" applyAlignment="1" pivotButton="0" quotePrefix="0" xfId="0">
      <alignment horizontal="general" vertical="bottom"/>
    </xf>
    <xf numFmtId="0" fontId="23" fillId="0" borderId="0" applyAlignment="1" pivotButton="0" quotePrefix="0" xfId="0">
      <alignment horizontal="general" vertical="bottom"/>
    </xf>
    <xf numFmtId="0" fontId="12" fillId="3" borderId="0" applyAlignment="1" pivotButton="0" quotePrefix="0" xfId="0">
      <alignment horizontal="general" vertical="bottom"/>
    </xf>
    <xf numFmtId="1" fontId="5" fillId="0" borderId="0" applyAlignment="1" pivotButton="0" quotePrefix="0" xfId="0">
      <alignment horizontal="general" vertical="bottom"/>
    </xf>
    <xf numFmtId="9" fontId="5" fillId="0" borderId="0" applyAlignment="1" pivotButton="0" quotePrefix="0" xfId="0">
      <alignment horizontal="general" vertical="bottom"/>
    </xf>
    <xf numFmtId="164" fontId="11" fillId="4" borderId="0" applyAlignment="1" pivotButton="0" quotePrefix="0" xfId="0">
      <alignment horizontal="general" vertical="bottom"/>
    </xf>
    <xf numFmtId="164" fontId="17" fillId="0" borderId="0" applyAlignment="1" pivotButton="0" quotePrefix="0" xfId="0">
      <alignment horizontal="general" vertical="bottom"/>
    </xf>
    <xf numFmtId="0" fontId="17" fillId="15" borderId="0" applyAlignment="1" pivotButton="0" quotePrefix="0" xfId="0">
      <alignment horizontal="general" vertical="bottom"/>
    </xf>
    <xf numFmtId="165" fontId="17" fillId="0" borderId="0" applyAlignment="1" pivotButton="0" quotePrefix="0" xfId="0">
      <alignment horizontal="general" vertical="bottom"/>
    </xf>
    <xf numFmtId="0" fontId="17" fillId="13" borderId="0" applyAlignment="1" pivotButton="0" quotePrefix="0" xfId="0">
      <alignment horizontal="general" vertical="bottom"/>
    </xf>
    <xf numFmtId="0" fontId="17" fillId="17" borderId="0" applyAlignment="1" pivotButton="0" quotePrefix="0" xfId="0">
      <alignment horizontal="general" vertical="bottom"/>
    </xf>
    <xf numFmtId="0" fontId="17" fillId="18" borderId="0" applyAlignment="1" pivotButton="0" quotePrefix="0" xfId="0">
      <alignment horizontal="general" vertical="bottom"/>
    </xf>
    <xf numFmtId="0" fontId="6" fillId="4" borderId="0" applyAlignment="1" pivotButton="0" quotePrefix="0" xfId="0">
      <alignment horizontal="center" vertical="center" wrapText="1"/>
    </xf>
    <xf numFmtId="0" fontId="24" fillId="19" borderId="0" applyAlignment="1" pivotButton="0" quotePrefix="0" xfId="0">
      <alignment horizontal="center" vertical="center" wrapText="1"/>
    </xf>
    <xf numFmtId="0" fontId="11" fillId="4" borderId="0" applyAlignment="1" pivotButton="0" quotePrefix="0" xfId="0">
      <alignment horizontal="left" vertical="center" wrapText="1"/>
    </xf>
    <xf numFmtId="0" fontId="9" fillId="12" borderId="1" applyAlignment="1" pivotButton="0" quotePrefix="0" xfId="0">
      <alignment horizontal="left" vertical="center" wrapText="1"/>
    </xf>
    <xf numFmtId="0" fontId="11" fillId="20" borderId="0" applyAlignment="1" pivotButton="0" quotePrefix="0" xfId="0">
      <alignment horizontal="left" vertical="center" wrapText="1"/>
    </xf>
    <xf numFmtId="0" fontId="0" fillId="0" borderId="5" pivotButton="0" quotePrefix="0" xfId="0"/>
    <xf numFmtId="0" fontId="0" fillId="0" borderId="6" pivotButton="0" quotePrefix="0" xfId="0"/>
    <xf numFmtId="0" fontId="11" fillId="21" borderId="0" applyAlignment="1" pivotButton="0" quotePrefix="0" xfId="0">
      <alignment horizontal="left" vertical="center" wrapText="1"/>
    </xf>
    <xf numFmtId="0" fontId="11" fillId="22" borderId="0" applyAlignment="1" pivotButton="0" quotePrefix="0" xfId="0">
      <alignment horizontal="left" vertical="center" wrapText="1"/>
    </xf>
    <xf numFmtId="0" fontId="11" fillId="23" borderId="0" applyAlignment="1" pivotButton="0" quotePrefix="0" xfId="0">
      <alignment horizontal="left" vertical="center" wrapText="1"/>
    </xf>
    <xf numFmtId="0" fontId="11" fillId="24" borderId="0" applyAlignment="1" pivotButton="0" quotePrefix="0" xfId="0">
      <alignment horizontal="left" vertical="center" wrapText="1"/>
    </xf>
    <xf numFmtId="0" fontId="9" fillId="11" borderId="1" applyAlignment="1" pivotButton="0" quotePrefix="0" xfId="0">
      <alignment horizontal="left" vertical="center" wrapText="1"/>
    </xf>
    <xf numFmtId="0" fontId="11" fillId="25" borderId="0" applyAlignment="1" pivotButton="0" quotePrefix="0" xfId="0">
      <alignment horizontal="left" vertical="center" wrapText="1"/>
    </xf>
    <xf numFmtId="0" fontId="11" fillId="26" borderId="0" applyAlignment="1" pivotButton="0" quotePrefix="0" xfId="0">
      <alignment horizontal="left" vertical="center" wrapText="1"/>
    </xf>
    <xf numFmtId="0" fontId="11" fillId="27" borderId="0" applyAlignment="1" pivotButton="0" quotePrefix="0" xfId="0">
      <alignment horizontal="left" vertical="center" wrapText="1"/>
    </xf>
    <xf numFmtId="0" fontId="11" fillId="5" borderId="0" applyAlignment="1" pivotButton="0" quotePrefix="0" xfId="0">
      <alignment horizontal="left" vertical="center" wrapText="1"/>
    </xf>
    <xf numFmtId="0" fontId="11" fillId="28" borderId="0" applyAlignment="1" pivotButton="0" quotePrefix="0" xfId="0">
      <alignment horizontal="left" vertical="center" wrapText="1"/>
    </xf>
    <xf numFmtId="0" fontId="11" fillId="29" borderId="0" applyAlignment="1" pivotButton="0" quotePrefix="0" xfId="0">
      <alignment horizontal="left" vertical="center" wrapText="1"/>
    </xf>
    <xf numFmtId="0" fontId="11" fillId="11" borderId="0" applyAlignment="1" pivotButton="0" quotePrefix="0" xfId="0">
      <alignment horizontal="left" vertical="center" wrapText="1"/>
    </xf>
    <xf numFmtId="0" fontId="19" fillId="4" borderId="0" applyAlignment="1" pivotButton="0" quotePrefix="0" xfId="0">
      <alignment horizontal="left" vertical="center"/>
    </xf>
    <xf numFmtId="0" fontId="25" fillId="30" borderId="0" pivotButton="0" quotePrefix="0" xfId="0"/>
    <xf numFmtId="0" fontId="26" fillId="31" borderId="0" pivotButton="0" quotePrefix="0" xfId="0"/>
    <xf numFmtId="1"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FFFFFF"/>
          <bgColor rgb="FF000000"/>
        </patternFill>
      </fill>
    </dxf>
    <dxf>
      <fill>
        <patternFill patternType="solid">
          <fgColor rgb="FF00B050"/>
          <bgColor rgb="FF000000"/>
        </patternFill>
      </fill>
    </dxf>
    <dxf>
      <fill>
        <patternFill patternType="solid">
          <fgColor rgb="FFBDD7EE"/>
          <bgColor rgb="FF000000"/>
        </patternFill>
      </fill>
    </dxf>
    <dxf>
      <fill>
        <patternFill patternType="solid">
          <fgColor rgb="FFD9D9D9"/>
          <bgColor rgb="FF000000"/>
        </patternFill>
      </fill>
    </dxf>
    <dxf>
      <fill>
        <patternFill>
          <bgColor rgb="FF00B050"/>
        </patternFill>
      </fill>
    </dxf>
    <dxf>
      <fill>
        <patternFill>
          <bgColor rgb="FFBDD7EE"/>
        </patternFill>
      </fill>
    </dxf>
    <dxf>
      <fill>
        <patternFill>
          <bgColor rgb="FFD9D9D9"/>
        </patternFill>
      </fill>
    </dxf>
    <dxf>
      <fill>
        <patternFill>
          <bgColor rgb="FFFFFF00"/>
        </patternFill>
      </fill>
    </dxf>
    <dxf>
      <font>
        <color rgb="FFFFFFFF"/>
      </font>
      <fill>
        <patternFill>
          <bgColor rgb="FFFF0000"/>
        </patternFill>
      </fill>
    </dxf>
    <dxf>
      <font>
        <color rgb="FFFFFFFF"/>
      </font>
      <fill>
        <patternFill>
          <bgColor rgb="FF00B050"/>
        </patternFill>
      </fill>
    </dxf>
    <dxf>
      <fill>
        <patternFill>
          <bgColor rgb="FFFFC000"/>
        </patternFill>
      </fill>
    </dxf>
    <dxf>
      <fill>
        <patternFill patternType="solid">
          <fgColor rgb="FF2E75B6"/>
          <bgColor rgb="FF000000"/>
        </patternFill>
      </fill>
    </dxf>
    <dxf>
      <fill>
        <patternFill patternType="solid">
          <fgColor rgb="FF2F5496"/>
          <bgColor rgb="FF000000"/>
        </patternFill>
      </fill>
    </dxf>
    <dxf>
      <fill>
        <patternFill patternType="solid">
          <fgColor rgb="FF44546A"/>
          <bgColor rgb="FF000000"/>
        </patternFill>
      </fill>
    </dxf>
    <dxf>
      <fill>
        <patternFill patternType="solid">
          <fgColor rgb="FF4472C4"/>
          <bgColor rgb="FF000000"/>
        </patternFill>
      </fill>
    </dxf>
    <dxf>
      <fill>
        <patternFill patternType="solid">
          <fgColor rgb="FF548235"/>
          <bgColor rgb="FF000000"/>
        </patternFill>
      </fill>
    </dxf>
    <dxf>
      <fill>
        <patternFill patternType="solid">
          <fgColor rgb="FF70AD47"/>
          <bgColor rgb="FF000000"/>
        </patternFill>
      </fill>
    </dxf>
    <dxf>
      <fill>
        <patternFill patternType="solid">
          <fgColor rgb="FF7F6000"/>
          <bgColor rgb="FF000000"/>
        </patternFill>
      </fill>
    </dxf>
    <dxf>
      <fill>
        <patternFill patternType="solid">
          <fgColor rgb="FF843C0C"/>
          <bgColor rgb="FF000000"/>
        </patternFill>
      </fill>
    </dxf>
    <dxf>
      <fill>
        <patternFill patternType="solid">
          <fgColor rgb="FFA64D79"/>
          <bgColor rgb="FF000000"/>
        </patternFill>
      </fill>
    </dxf>
    <dxf>
      <fill>
        <patternFill patternType="solid">
          <fgColor rgb="FFBF8F00"/>
          <bgColor rgb="FF000000"/>
        </patternFill>
      </fill>
    </dxf>
    <dxf>
      <fill>
        <patternFill patternType="solid">
          <fgColor rgb="FFC55A11"/>
          <bgColor rgb="FF000000"/>
        </patternFill>
      </fill>
    </dxf>
    <dxf>
      <fill>
        <patternFill patternType="solid">
          <fgColor rgb="FFED7D31"/>
          <bgColor rgb="FF000000"/>
        </patternFill>
      </fill>
    </dxf>
    <dxf>
      <fill>
        <patternFill patternType="solid">
          <fgColor rgb="FFF2F2F2"/>
          <bgColor rgb="FF000000"/>
        </patternFill>
      </fill>
    </dxf>
  </dxfs>
  <colors>
    <indexedColors>
      <rgbColor rgb="FF000000"/>
      <rgbColor rgb="FFFFFFFF"/>
      <rgbColor rgb="FFFF0000"/>
      <rgbColor rgb="FFE7E6E6"/>
      <rgbColor rgb="FF0000FF"/>
      <rgbColor rgb="FFFFFF00"/>
      <rgbColor rgb="FFFF00FF"/>
      <rgbColor rgb="FFD9E2F3"/>
      <rgbColor rgb="FF800000"/>
      <rgbColor rgb="FF008000"/>
      <rgbColor rgb="FF000080"/>
      <rgbColor rgb="FF7F6000"/>
      <rgbColor rgb="FF800080"/>
      <rgbColor rgb="FF2E75B6"/>
      <rgbColor rgb="FFD0D0D0"/>
      <rgbColor rgb="FF878787"/>
      <rgbColor rgb="FF4F81BD"/>
      <rgbColor rgb="FFA64D79"/>
      <rgbColor rgb="FFF9F9F9"/>
      <rgbColor rgb="FFE2EFDA"/>
      <rgbColor rgb="FF660066"/>
      <rgbColor rgb="FFC55A11"/>
      <rgbColor rgb="FF0563C1"/>
      <rgbColor rgb="FFBDD7EE"/>
      <rgbColor rgb="FF000080"/>
      <rgbColor rgb="FFFF00FF"/>
      <rgbColor rgb="FFFCE4D6"/>
      <rgbColor rgb="FFD9E1F2"/>
      <rgbColor rgb="FF800080"/>
      <rgbColor rgb="FF800000"/>
      <rgbColor rgb="FF00B050"/>
      <rgbColor rgb="FF0000FF"/>
      <rgbColor rgb="FFD6DCE4"/>
      <rgbColor rgb="FFF2F2F2"/>
      <rgbColor rgb="FFC6EFCE"/>
      <rgbColor rgb="FFFFEB9C"/>
      <rgbColor rgb="FFD3D3D3"/>
      <rgbColor rgb="FFF4B084"/>
      <rgbColor rgb="FFD9D9D9"/>
      <rgbColor rgb="FFFFC7CE"/>
      <rgbColor rgb="FF4472C4"/>
      <rgbColor rgb="FF4BACC6"/>
      <rgbColor rgb="FF9BBB59"/>
      <rgbColor rgb="FFFFC000"/>
      <rgbColor rgb="FFBF8F00"/>
      <rgbColor rgb="FFED7D31"/>
      <rgbColor rgb="FF8064A2"/>
      <rgbColor rgb="FF70AD47"/>
      <rgbColor rgb="FF203864"/>
      <rgbColor rgb="FF548235"/>
      <rgbColor rgb="FF1F4E78"/>
      <rgbColor rgb="FF44546A"/>
      <rgbColor rgb="FF843C0C"/>
      <rgbColor rgb="FFC0504D"/>
      <rgbColor rgb="FF2F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ARR Trajectory Q1-Q4 + 2027</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Dashboard!B8</f>
              <strCache>
                <ptCount val="1"/>
                <pt idx="0">
                  <v>ARR (K€)</v>
                </pt>
              </strCache>
            </strRef>
          </tx>
          <spPr>
            <a:solidFill xmlns:a="http://schemas.openxmlformats.org/drawingml/2006/main">
              <a:srgbClr val="4f81bd"/>
            </a:solidFill>
            <a:ln xmlns:a="http://schemas.openxmlformats.org/drawingml/2006/main" w="936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Dashboard!$A$9:$A$13</f>
              <strCache>
                <ptCount val="5"/>
                <pt idx="0">
                  <v>En cours</v>
                </pt>
                <pt idx="1">
                  <v>Features Metrics</v>
                </pt>
                <pt idx="2">
                  <v>PI-1</v>
                </pt>
                <pt idx="3">
                  <v>Q4</v>
                </pt>
                <pt idx="4">
                  <v>Risk Metrics (ROAM)</v>
                </pt>
              </strCache>
            </strRef>
          </cat>
          <val>
            <numRef>
              <f>Dashboard!$B$9:$B$13</f>
              <numCache>
                <formatCode>General</formatCode>
                <ptCount val="5"/>
                <pt idx="0">
                  <v>2</v>
                </pt>
                <pt idx="1">
                  <v>25</v>
                </pt>
                <pt idx="2">
                  <v>0</v>
                </pt>
                <pt idx="3">
                  <v>9</v>
                </pt>
                <pt idx="4">
                  <v>350</v>
                </pt>
              </numCache>
            </numRef>
          </val>
        </ser>
        <gapWidth val="150"/>
        <overlap val="0"/>
        <axId val="89865602"/>
        <axId val="90196312"/>
      </barChart>
      <catAx>
        <axId val="89865602"/>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Period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90196312"/>
        <crosses val="autoZero"/>
        <auto val="1"/>
        <lblAlgn val="ctr"/>
        <lblOffset val="100"/>
        <noMultiLvlLbl val="0"/>
      </catAx>
      <valAx>
        <axId val="90196312"/>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ARR (K€)</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89865602"/>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Flow Distribution</a:t>
            </a:r>
          </a:p>
        </rich>
      </tx>
      <overlay val="0"/>
      <spPr>
        <a:noFill xmlns:a="http://schemas.openxmlformats.org/drawingml/2006/main"/>
        <a:ln xmlns:a="http://schemas.openxmlformats.org/drawingml/2006/main" w="0">
          <a:noFill/>
          <a:prstDash val="solid"/>
        </a:ln>
      </spPr>
    </title>
    <plotArea>
      <pieChart>
        <varyColors val="1"/>
        <ser>
          <idx val="0"/>
          <order val="0"/>
          <spPr>
            <a:solidFill xmlns:a="http://schemas.openxmlformats.org/drawingml/2006/main">
              <a:srgbClr val="4f81bd"/>
            </a:solidFill>
            <a:ln xmlns:a="http://schemas.openxmlformats.org/drawingml/2006/main" w="9360">
              <a:solidFill>
                <a:srgbClr val="f9f9f9"/>
              </a:solidFill>
              <a:prstDash val="solid"/>
              <a:round/>
            </a:ln>
          </spPr>
          <explosion val="0"/>
          <dPt>
            <idx val="0"/>
            <spPr>
              <a:solidFill xmlns:a="http://schemas.openxmlformats.org/drawingml/2006/main">
                <a:srgbClr val="4f81bd"/>
              </a:solidFill>
              <a:ln xmlns:a="http://schemas.openxmlformats.org/drawingml/2006/main" w="9360">
                <a:solidFill>
                  <a:srgbClr val="f9f9f9"/>
                </a:solidFill>
                <a:prstDash val="solid"/>
                <a:round/>
              </a:ln>
            </spPr>
          </dPt>
          <dPt>
            <idx val="1"/>
            <spPr>
              <a:solidFill xmlns:a="http://schemas.openxmlformats.org/drawingml/2006/main">
                <a:srgbClr val="c0504d"/>
              </a:solidFill>
              <a:ln xmlns:a="http://schemas.openxmlformats.org/drawingml/2006/main" w="9360">
                <a:solidFill>
                  <a:srgbClr val="f9f9f9"/>
                </a:solidFill>
                <a:prstDash val="solid"/>
                <a:round/>
              </a:ln>
            </spPr>
          </dPt>
          <dPt>
            <idx val="2"/>
            <spPr>
              <a:solidFill xmlns:a="http://schemas.openxmlformats.org/drawingml/2006/main">
                <a:srgbClr val="9bbb59"/>
              </a:solidFill>
              <a:ln xmlns:a="http://schemas.openxmlformats.org/drawingml/2006/main" w="9360">
                <a:solidFill>
                  <a:srgbClr val="f9f9f9"/>
                </a:solidFill>
                <a:prstDash val="solid"/>
                <a:round/>
              </a:ln>
            </spPr>
          </dPt>
          <dPt>
            <idx val="3"/>
            <spPr>
              <a:solidFill xmlns:a="http://schemas.openxmlformats.org/drawingml/2006/main">
                <a:srgbClr val="8064a2"/>
              </a:solidFill>
              <a:ln xmlns:a="http://schemas.openxmlformats.org/drawingml/2006/main" w="9360">
                <a:solidFill>
                  <a:srgbClr val="f9f9f9"/>
                </a:solidFill>
                <a:prstDash val="solid"/>
                <a:round/>
              </a:ln>
            </spPr>
          </dPt>
          <dPt>
            <idx val="4"/>
            <spPr>
              <a:solidFill xmlns:a="http://schemas.openxmlformats.org/drawingml/2006/main">
                <a:srgbClr val="4bacc6"/>
              </a:solidFill>
              <a:ln xmlns:a="http://schemas.openxmlformats.org/drawingml/2006/main" w="9360">
                <a:solidFill>
                  <a:srgbClr val="f9f9f9"/>
                </a:solidFill>
                <a:prstDash val="solid"/>
                <a:roun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bestFit"/>
              <showLegendKey val="0"/>
              <showVal val="0"/>
              <showCatName val="0"/>
              <showSerName val="0"/>
              <showPercent val="0"/>
            </dLbl>
            <dLbl>
              <idx val="4"/>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bestFit"/>
            <showLegendKey val="0"/>
            <showVal val="0"/>
            <showCatName val="0"/>
            <showSerName val="0"/>
            <showPercent val="0"/>
            <showLeaderLines val="1"/>
          </dLbls>
          <cat>
            <strRef>
              <f>Dashboard!$F$9:$F$12</f>
              <strCache>
                <ptCount val="4"/>
                <pt idx="0">
                  <v>16</v>
                </pt>
                <pt idx="1">
                  <v>Expérience Match</v>
                </pt>
                <pt idx="2">
                  <v>3</v>
                </pt>
                <pt idx="3">
                  <v>Excellence Ops</v>
                </pt>
              </strCache>
            </strRef>
          </cat>
          <val>
            <numRef>
              <f>Dashboard!$G$8:$G$12</f>
              <numCache>
                <formatCode>General</formatCode>
                <ptCount val="5"/>
                <pt idx="1">
                  <v>40</v>
                </pt>
                <pt idx="2">
                  <v>25</v>
                </pt>
                <pt idx="3">
                  <v>20</v>
                </pt>
                <pt idx="4">
                  <v>15</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Epic WSJF Scores</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spPr>
            <a:solidFill xmlns:a="http://schemas.openxmlformats.org/drawingml/2006/main">
              <a:srgbClr val="4f81bd"/>
            </a:solidFill>
            <a:ln xmlns:a="http://schemas.openxmlformats.org/drawingml/2006/main" w="936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'Epics &amp; LBC'!$A$4:$A$24</f>
              <strCache>
                <ptCount val="21"/>
                <pt idx="0">
                  <v>E-01</v>
                </pt>
                <pt idx="1">
                  <v>E-02</v>
                </pt>
                <pt idx="2">
                  <v>E-03</v>
                </pt>
                <pt idx="3">
                  <v>E-04</v>
                </pt>
                <pt idx="4">
                  <v>E-06</v>
                </pt>
                <pt idx="5">
                  <v>E-07</v>
                </pt>
                <pt idx="6">
                  <v>E-08</v>
                </pt>
                <pt idx="7">
                  <v>E-09</v>
                </pt>
                <pt idx="8">
                  <v>E-10</v>
                </pt>
                <pt idx="9">
                  <v>E-05</v>
                </pt>
                <pt idx="10">
                  <v>E-11</v>
                </pt>
                <pt idx="11">
                  <v>E-15</v>
                </pt>
                <pt idx="12">
                  <v>E-16</v>
                </pt>
                <pt idx="13">
                  <v>E-17</v>
                </pt>
                <pt idx="14">
                  <v>E-12</v>
                </pt>
                <pt idx="15">
                  <v>E-13</v>
                </pt>
                <pt idx="16">
                  <v>E-14</v>
                </pt>
                <pt idx="17">
                  <v>E-18</v>
                </pt>
                <pt idx="18">
                  <v>E-19</v>
                </pt>
                <pt idx="19">
                  <v>E-20</v>
                </pt>
                <pt idx="20">
                  <v>E-21</v>
                </pt>
              </strCache>
            </strRef>
          </cat>
          <val>
            <numRef>
              <f>'Epics &amp; LBC'!$E$3:$E$24</f>
              <numCache>
                <formatCode>General</formatCode>
                <ptCount val="22"/>
                <pt idx="1">
                  <v>13</v>
                </pt>
                <pt idx="2">
                  <v>10</v>
                </pt>
                <pt idx="3">
                  <v>21</v>
                </pt>
                <pt idx="4">
                  <v>8</v>
                </pt>
                <pt idx="5">
                  <v>6.5</v>
                </pt>
                <pt idx="6">
                  <v>21</v>
                </pt>
                <pt idx="7">
                  <v>13</v>
                </pt>
                <pt idx="8">
                  <v>10</v>
                </pt>
                <pt idx="9">
                  <v>10.5</v>
                </pt>
                <pt idx="10">
                  <v>10</v>
                </pt>
                <pt idx="11">
                  <v>8</v>
                </pt>
                <pt idx="12">
                  <v>8</v>
                </pt>
                <pt idx="13">
                  <v>3.5</v>
                </pt>
                <pt idx="14">
                  <v>5</v>
                </pt>
                <pt idx="15">
                  <v>5</v>
                </pt>
                <pt idx="16">
                  <v>8</v>
                </pt>
                <pt idx="17">
                  <v>4</v>
                </pt>
                <pt idx="18">
                  <v>5</v>
                </pt>
                <pt idx="19">
                  <v>1.33333333333333</v>
                </pt>
                <pt idx="20">
                  <v>5</v>
                </pt>
                <pt idx="21">
                  <v>5</v>
                </pt>
              </numCache>
            </numRef>
          </val>
        </ser>
        <gapWidth val="150"/>
        <overlap val="0"/>
        <axId val="61743307"/>
        <axId val="11794935"/>
      </barChart>
      <catAx>
        <axId val="61743307"/>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11794935"/>
        <crosses val="autoZero"/>
        <auto val="1"/>
        <lblAlgn val="ctr"/>
        <lblOffset val="100"/>
        <noMultiLvlLbl val="0"/>
      </catAx>
      <valAx>
        <axId val="11794935"/>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WSJF Score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1743307"/>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Sprint Velocity Trend</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'Sprint Tracker'!C3</f>
              <strCache>
                <ptCount val="1"/>
                <pt idx="0">
                  <v>0</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'Sprint Tracker'!$A$4:$A$5</f>
              <strCache>
                <ptCount val="2"/>
                <pt idx="0">
                  <v>S2</v>
                </pt>
                <pt idx="1">
                  <v>S3</v>
                </pt>
              </strCache>
            </strRef>
          </cat>
          <val>
            <numRef>
              <f>'Sprint Tracker'!$C$4:$C$5</f>
              <numCache>
                <formatCode>General</formatCode>
                <ptCount val="2"/>
                <pt idx="0">
                  <v>0</v>
                </pt>
                <pt idx="1">
                  <v>0</v>
                </pt>
              </numCache>
            </numRef>
          </val>
        </ser>
        <gapWidth val="150"/>
        <overlap val="0"/>
        <axId val="94319659"/>
        <axId val="71658245"/>
      </barChart>
      <catAx>
        <axId val="94319659"/>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Sprint</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71658245"/>
        <crosses val="autoZero"/>
        <auto val="1"/>
        <lblAlgn val="ctr"/>
        <lblOffset val="100"/>
        <noMultiLvlLbl val="0"/>
      </catAx>
      <valAx>
        <axId val="71658245"/>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Story Points</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94319659"/>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Work Distribution Across Value Streams</a:t>
            </a:r>
          </a:p>
        </rich>
      </tx>
      <overlay val="0"/>
      <spPr>
        <a:noFill xmlns:a="http://schemas.openxmlformats.org/drawingml/2006/main"/>
        <a:ln xmlns:a="http://schemas.openxmlformats.org/drawingml/2006/main" w="0">
          <a:noFill/>
          <a:prstDash val="solid"/>
        </a:ln>
      </spPr>
    </title>
    <plotArea>
      <pieChart>
        <varyColors val="1"/>
        <ser>
          <idx val="0"/>
          <order val="0"/>
          <spPr>
            <a:solidFill xmlns:a="http://schemas.openxmlformats.org/drawingml/2006/main">
              <a:srgbClr val="4f81bd"/>
            </a:solidFill>
            <a:ln xmlns:a="http://schemas.openxmlformats.org/drawingml/2006/main" w="9360">
              <a:solidFill>
                <a:srgbClr val="f9f9f9"/>
              </a:solidFill>
              <a:prstDash val="solid"/>
              <a:round/>
            </a:ln>
          </spPr>
          <explosion val="0"/>
          <dPt>
            <idx val="0"/>
            <spPr>
              <a:solidFill xmlns:a="http://schemas.openxmlformats.org/drawingml/2006/main">
                <a:srgbClr val="4f81bd"/>
              </a:solidFill>
              <a:ln xmlns:a="http://schemas.openxmlformats.org/drawingml/2006/main" w="9360">
                <a:solidFill>
                  <a:srgbClr val="f9f9f9"/>
                </a:solidFill>
                <a:prstDash val="solid"/>
                <a:round/>
              </a:ln>
            </spPr>
          </dPt>
          <dPt>
            <idx val="1"/>
            <spPr>
              <a:solidFill xmlns:a="http://schemas.openxmlformats.org/drawingml/2006/main">
                <a:srgbClr val="c0504d"/>
              </a:solidFill>
              <a:ln xmlns:a="http://schemas.openxmlformats.org/drawingml/2006/main" w="9360">
                <a:solidFill>
                  <a:srgbClr val="f9f9f9"/>
                </a:solidFill>
                <a:prstDash val="solid"/>
                <a:round/>
              </a:ln>
            </spPr>
          </dPt>
          <dPt>
            <idx val="2"/>
            <spPr>
              <a:solidFill xmlns:a="http://schemas.openxmlformats.org/drawingml/2006/main">
                <a:srgbClr val="9bbb59"/>
              </a:solidFill>
              <a:ln xmlns:a="http://schemas.openxmlformats.org/drawingml/2006/main" w="9360">
                <a:solidFill>
                  <a:srgbClr val="f9f9f9"/>
                </a:solidFill>
                <a:prstDash val="solid"/>
                <a:round/>
              </a:ln>
            </spPr>
          </dPt>
          <dPt>
            <idx val="3"/>
            <spPr>
              <a:solidFill xmlns:a="http://schemas.openxmlformats.org/drawingml/2006/main">
                <a:srgbClr val="8064a2"/>
              </a:solidFill>
              <a:ln xmlns:a="http://schemas.openxmlformats.org/drawingml/2006/main" w="9360">
                <a:solidFill>
                  <a:srgbClr val="f9f9f9"/>
                </a:solidFill>
                <a:prstDash val="solid"/>
                <a:round/>
              </a:ln>
            </spPr>
          </dPt>
          <dPt>
            <idx val="4"/>
            <spPr>
              <a:solidFill xmlns:a="http://schemas.openxmlformats.org/drawingml/2006/main">
                <a:srgbClr val="4bacc6"/>
              </a:solidFill>
              <a:ln xmlns:a="http://schemas.openxmlformats.org/drawingml/2006/main" w="9360">
                <a:solidFill>
                  <a:srgbClr val="f9f9f9"/>
                </a:solidFill>
                <a:prstDash val="solid"/>
                <a:roun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bestFit"/>
              <showLegendKey val="0"/>
              <showVal val="0"/>
              <showCatName val="0"/>
              <showSerName val="0"/>
              <showPercent val="0"/>
            </dLbl>
            <dLbl>
              <idx val="4"/>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bestFit"/>
            <showLegendKey val="0"/>
            <showVal val="0"/>
            <showCatName val="0"/>
            <showSerName val="0"/>
            <showPercent val="0"/>
            <showLeaderLines val="1"/>
          </dLbls>
          <cat>
            <strRef>
              <f>'Flow Metrics'!$A$12:$A$15</f>
              <strCache>
                <ptCount val="4"/>
                <pt idx="0">
                  <v>Club to Screen</v>
                </pt>
                <pt idx="1">
                  <v>Sponsor Impression</v>
                </pt>
                <pt idx="2">
                  <v>Platform Core</v>
                </pt>
                <pt idx="3">
                  <v>Support/Debt</v>
                </pt>
              </strCache>
            </strRef>
          </cat>
          <val>
            <numRef>
              <f>'Flow Metrics'!$B$11:$B$15</f>
              <numCache>
                <formatCode>General</formatCode>
                <ptCount val="5"/>
                <pt idx="1">
                  <v>25</v>
                </pt>
                <pt idx="2">
                  <v>20</v>
                </pt>
                <pt idx="3">
                  <v>35</v>
                </pt>
                <pt idx="4">
                  <v>12</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editAs="oneCell">
    <from>
      <col>0</col>
      <colOff>0</colOff>
      <row>13</row>
      <rowOff>160560</rowOff>
    </from>
    <to>
      <col>4</col>
      <colOff>459000</colOff>
      <row>27</row>
      <rowOff>186120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5</col>
      <colOff>0</colOff>
      <row>13</row>
      <rowOff>160560</rowOff>
    </from>
    <to>
      <col>12</col>
      <colOff>313920</colOff>
      <row>27</row>
      <rowOff>186120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editAs="oneCell">
    <from>
      <col>0</col>
      <colOff>0</colOff>
      <row>25</row>
      <rowOff>0</rowOff>
    </from>
    <to>
      <col>5</col>
      <colOff>106560</colOff>
      <row>39</row>
      <rowOff>25560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0</col>
      <colOff>0</colOff>
      <row>7</row>
      <rowOff>0</rowOff>
    </from>
    <to>
      <col>4</col>
      <colOff>106560</colOff>
      <row>21</row>
      <rowOff>25560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editAs="oneCell">
    <from>
      <col>0</col>
      <colOff>0</colOff>
      <row>17</row>
      <rowOff>0</rowOff>
    </from>
    <to>
      <col>3</col>
      <colOff>811440</colOff>
      <row>31</row>
      <rowOff>25920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NEOPRO_SAFe_Portfolio.xlsx" TargetMode="External" Id="rId1"/><Relationship Type="http://schemas.openxmlformats.org/officeDocument/2006/relationships/hyperlink" Target="NEOPRO_SAFe_Portfolio.xlsx" TargetMode="External" Id="rId2"/><Relationship Type="http://schemas.openxmlformats.org/officeDocument/2006/relationships/hyperlink" Target="NEOPRO_SAFe_Portfolio.xlsx" TargetMode="External" Id="rId3"/><Relationship Type="http://schemas.openxmlformats.org/officeDocument/2006/relationships/hyperlink" Target="NEOPRO_SAFe_Portfolio.xlsx" TargetMode="External" Id="rId4"/><Relationship Type="http://schemas.openxmlformats.org/officeDocument/2006/relationships/hyperlink" Target="NEOPRO_SAFe_Portfolio.xlsx" TargetMode="External" Id="rId5"/><Relationship Type="http://schemas.openxmlformats.org/officeDocument/2006/relationships/hyperlink" Target="NEOPRO_SAFe_Portfolio.xlsx" TargetMode="External" Id="rId6"/><Relationship Type="http://schemas.openxmlformats.org/officeDocument/2006/relationships/hyperlink" Target="NEOPRO_SAFe_Portfolio.xlsx" TargetMode="External" Id="rId7"/><Relationship Type="http://schemas.openxmlformats.org/officeDocument/2006/relationships/hyperlink" Target="NEOPRO_SAFe_Portfolio.xlsx" TargetMode="External" Id="rId8"/><Relationship Type="http://schemas.openxmlformats.org/officeDocument/2006/relationships/hyperlink" Target="NEOPRO_SAFe_Portfolio.xlsx" TargetMode="External" Id="rId9"/><Relationship Type="http://schemas.openxmlformats.org/officeDocument/2006/relationships/hyperlink" Target="NEOPRO_SAFe_Portfolio.xlsx" TargetMode="External" Id="rId10"/><Relationship Type="http://schemas.openxmlformats.org/officeDocument/2006/relationships/hyperlink" Target="NEOPRO_SAFe_Portfolio.xlsx" TargetMode="External" Id="rId11"/><Relationship Type="http://schemas.openxmlformats.org/officeDocument/2006/relationships/hyperlink" Target="NEOPRO_SAFe_Portfolio.xlsx" TargetMode="External" Id="rId12"/><Relationship Type="http://schemas.openxmlformats.org/officeDocument/2006/relationships/hyperlink" Target="NEOPRO_SAFe_Portfolio.xlsx" TargetMode="External" Id="rId13"/><Relationship Type="http://schemas.openxmlformats.org/officeDocument/2006/relationships/hyperlink" Target="NEOPRO_SAFe_Portfolio.xlsx" TargetMode="External" Id="rId14"/><Relationship Type="http://schemas.openxmlformats.org/officeDocument/2006/relationships/hyperlink" Target="NEOPRO_SAFe_Portfolio.xlsx" TargetMode="External" Id="rId15"/><Relationship Type="http://schemas.openxmlformats.org/officeDocument/2006/relationships/hyperlink" Target="NEOPRO_SAFe_Portfolio.xlsx" TargetMode="External" Id="rId16"/><Relationship Type="http://schemas.openxmlformats.org/officeDocument/2006/relationships/drawing" Target="/xl/drawings/drawing1.xml" Id="rId17"/></Relationships>
</file>

<file path=xl/worksheets/_rels/sheet5.xml.rels><Relationships xmlns="http://schemas.openxmlformats.org/package/2006/relationships"><Relationship Type="http://schemas.openxmlformats.org/officeDocument/2006/relationships/hyperlink" Target="NEOPRO_SAFe_Portfolio.xlsx" TargetMode="External" Id="rId1"/><Relationship Type="http://schemas.openxmlformats.org/officeDocument/2006/relationships/hyperlink" Target="NEOPRO_SAFe_Portfolio.xlsx" TargetMode="External" Id="rId2"/><Relationship Type="http://schemas.openxmlformats.org/officeDocument/2006/relationships/hyperlink" Target="NEOPRO_SAFe_Portfolio.xlsx" TargetMode="External" Id="rId3"/><Relationship Type="http://schemas.openxmlformats.org/officeDocument/2006/relationships/hyperlink" Target="NEOPRO_SAFe_Portfolio.xlsx" TargetMode="External" Id="rId4"/><Relationship Type="http://schemas.openxmlformats.org/officeDocument/2006/relationships/drawing" Target="/xl/drawings/drawing2.xml" Id="rId5"/></Relationships>
</file>

<file path=xl/worksheets/_rels/sheet6.xml.rels><Relationships xmlns="http://schemas.openxmlformats.org/package/2006/relationships"><Relationship Type="http://schemas.openxmlformats.org/officeDocument/2006/relationships/hyperlink" Target="NEOPRO_SAFe_Portfolio.xlsx" TargetMode="External" Id="rId1"/><Relationship Type="http://schemas.openxmlformats.org/officeDocument/2006/relationships/hyperlink" Target="NEOPRO_SAFe_Portfolio.xlsx" TargetMode="External" Id="rId2"/><Relationship Type="http://schemas.openxmlformats.org/officeDocument/2006/relationships/hyperlink" Target="NEOPRO_SAFe_Portfolio.xlsx" TargetMode="External" Id="rId3"/><Relationship Type="http://schemas.openxmlformats.org/officeDocument/2006/relationships/hyperlink" Target="NEOPRO_SAFe_Portfolio.xlsx" TargetMode="External" Id="rId4"/></Relationships>
</file>

<file path=xl/worksheets/_rels/sheet7.xml.rels><Relationships xmlns="http://schemas.openxmlformats.org/package/2006/relationships"><Relationship Type="http://schemas.openxmlformats.org/officeDocument/2006/relationships/hyperlink" Target="NEOPRO_SAFe_Portfolio.xlsx" TargetMode="External" Id="rId1"/></Relationships>
</file>

<file path=xl/worksheets/_rels/sheet8.xml.rels><Relationships xmlns="http://schemas.openxmlformats.org/package/2006/relationships"><Relationship Type="http://schemas.openxmlformats.org/officeDocument/2006/relationships/hyperlink" Target="NEOPRO_SAFe_Portfolio.xlsx" TargetMode="External" Id="rId1"/><Relationship Type="http://schemas.openxmlformats.org/officeDocument/2006/relationships/drawing" Target="/xl/drawings/drawing3.xml" Id="rId2"/></Relationships>
</file>

<file path=xl/worksheets/_rels/sheet9.xml.rels><Relationships xmlns="http://schemas.openxmlformats.org/package/2006/relationships"><Relationship Type="http://schemas.openxmlformats.org/officeDocument/2006/relationships/hyperlink" Target="NEOPRO_SAFe_Portfolio.xlsx" TargetMode="Externa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hyperlink" Target="NEOPRO_SAFe_Portfolio.xlsx" TargetMode="External" Id="rId1"/><Relationship Type="http://schemas.openxmlformats.org/officeDocument/2006/relationships/hyperlink" Target="NEOPRO_SAFe_Portfolio.xlsx" TargetMode="External" Id="rId2"/><Relationship Type="http://schemas.openxmlformats.org/officeDocument/2006/relationships/hyperlink" Target="NEOPRO_SAFe_Portfolio.xlsx" TargetMode="External" Id="rId3"/><Relationship Type="http://schemas.openxmlformats.org/officeDocument/2006/relationships/hyperlink" Target="NEOPRO_SAFe_Portfolio.xlsx" TargetMode="External" Id="rId4"/></Relationships>
</file>

<file path=xl/worksheets/sheet1.xml><?xml version="1.0" encoding="utf-8"?>
<worksheet xmlns="http://schemas.openxmlformats.org/spreadsheetml/2006/main">
  <sheetPr filterMode="0">
    <outlinePr summaryBelow="1" summaryRight="1"/>
    <pageSetUpPr fitToPage="0"/>
  </sheetPr>
  <dimension ref="A1:H4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0" customWidth="1" style="69" min="1" max="1"/>
    <col width="15" customWidth="1" style="69" min="2" max="2"/>
    <col width="20" customWidth="1" style="69" min="3" max="3"/>
    <col width="15" customWidth="1" style="69" min="4" max="4"/>
    <col width="20" customWidth="1" style="69" min="5" max="6"/>
  </cols>
  <sheetData>
    <row r="1" ht="17.25" customHeight="1" s="70">
      <c r="A1" s="71" t="inlineStr">
        <is>
          <t>NEOPRO SAFe Portfolio Dashboard</t>
        </is>
      </c>
    </row>
    <row r="2" ht="15" customHeight="1" s="70">
      <c r="A2" s="72" t="n"/>
      <c r="B2" s="72" t="n"/>
      <c r="C2" s="72" t="n"/>
      <c r="D2" s="72" t="n"/>
      <c r="E2" s="72" t="n"/>
      <c r="F2" s="72" t="n"/>
      <c r="G2" s="72" t="n"/>
      <c r="H2" s="72" t="n"/>
    </row>
    <row r="3" ht="15" customHeight="1" s="70">
      <c r="A3" s="73">
        <f>COUNTA('Epics &amp; LBC'!A4:A24)-COUNTBLANK('Epics &amp; LBC'!A4:A24)</f>
        <v/>
      </c>
      <c r="B3" s="72" t="n"/>
      <c r="C3" s="73">
        <f>COUNTA('Features &amp; US'!B4:B55)-COUNTBLANK('Features &amp; US'!B4:B55)</f>
        <v/>
      </c>
      <c r="D3" s="72" t="n"/>
      <c r="E3" s="74" t="inlineStr">
        <is>
          <t>40 User Stories</t>
        </is>
      </c>
      <c r="F3" s="72" t="n"/>
      <c r="G3" s="74" t="inlineStr">
        <is>
          <t>262 SP total</t>
        </is>
      </c>
      <c r="H3" s="72" t="n"/>
    </row>
    <row r="4" ht="15" customHeight="1" s="70">
      <c r="A4" s="75">
        <f>COUNTIF('Epics &amp; LBC'!G:G,"✅ Done")</f>
        <v/>
      </c>
      <c r="B4" s="72" t="n"/>
      <c r="C4" s="75" t="inlineStr">
        <is>
          <t>79 SP PI-1</t>
        </is>
      </c>
      <c r="D4" s="72" t="n"/>
      <c r="E4" s="75" t="inlineStr">
        <is>
          <t>69 SP PI-2</t>
        </is>
      </c>
      <c r="F4" s="72" t="n"/>
      <c r="G4" s="75" t="inlineStr">
        <is>
          <t>73 SP PI-3</t>
        </is>
      </c>
      <c r="H4" s="72" t="n"/>
    </row>
    <row r="5" ht="15" customHeight="1" s="70">
      <c r="A5" s="72" t="n"/>
      <c r="B5" s="72" t="n"/>
      <c r="C5" s="72" t="n"/>
      <c r="D5" s="72" t="n"/>
      <c r="E5" s="72" t="n"/>
      <c r="F5" s="72" t="n"/>
      <c r="G5" s="72" t="n"/>
      <c r="H5" s="72" t="n"/>
    </row>
    <row r="6" ht="15" customHeight="1" s="70">
      <c r="A6" s="76" t="inlineStr">
        <is>
          <t>KEY PERFORMANCE INDICATORS</t>
        </is>
      </c>
      <c r="B6" s="72" t="n"/>
      <c r="C6" s="72" t="n"/>
      <c r="D6" s="72" t="n"/>
      <c r="E6" s="72" t="n"/>
      <c r="F6" s="77" t="inlineStr">
        <is>
          <t>Flow Distribution</t>
        </is>
      </c>
      <c r="G6" s="72" t="n"/>
      <c r="H6" s="72" t="n"/>
    </row>
    <row r="7" ht="15" customHeight="1" s="70">
      <c r="A7" s="72" t="n"/>
      <c r="B7" s="72" t="n"/>
      <c r="C7" s="72" t="n"/>
      <c r="D7" s="72" t="n"/>
      <c r="E7" s="72" t="n"/>
      <c r="F7" s="72" t="n"/>
      <c r="G7" s="72" t="n"/>
      <c r="H7" s="72" t="n"/>
    </row>
    <row r="8" ht="15" customHeight="1" s="70">
      <c r="A8" s="78" t="inlineStr">
        <is>
          <t>Epics Metrics</t>
        </is>
      </c>
      <c r="B8" s="72" t="inlineStr">
        <is>
          <t>ARR (K€)</t>
        </is>
      </c>
      <c r="C8" s="72" t="n"/>
      <c r="D8" s="72" t="n"/>
      <c r="E8" s="72" t="n"/>
      <c r="F8" s="72" t="inlineStr">
        <is>
          <t>Domain</t>
        </is>
      </c>
      <c r="G8" s="72" t="inlineStr">
        <is>
          <t>Percentage</t>
        </is>
      </c>
      <c r="H8" s="72" t="n"/>
    </row>
    <row r="9" ht="15" customHeight="1" s="70">
      <c r="A9" s="72" t="inlineStr">
        <is>
          <t>En cours</t>
        </is>
      </c>
      <c r="B9" s="78">
        <f>COUNTIF('Epics &amp; LBC'!G:G,"En cours")</f>
        <v/>
      </c>
      <c r="C9" s="72" t="inlineStr">
        <is>
          <t>Terminé</t>
        </is>
      </c>
      <c r="D9" s="78">
        <f>COUNTIF('Epics &amp; LBC'!G:G,"Terminé")</f>
        <v/>
      </c>
      <c r="E9" s="78" t="inlineStr">
        <is>
          <t>Backlog</t>
        </is>
      </c>
      <c r="F9" s="78">
        <f>COUNTIF('Epics &amp; LBC'!G:G,"Backlog")</f>
        <v/>
      </c>
      <c r="G9" s="72" t="n">
        <v>40</v>
      </c>
      <c r="H9" s="72" t="n"/>
    </row>
    <row r="10" ht="15" customHeight="1" s="70">
      <c r="A10" s="78" t="inlineStr">
        <is>
          <t>Features Metrics</t>
        </is>
      </c>
      <c r="B10" s="72" t="n">
        <v>25</v>
      </c>
      <c r="C10" s="72" t="n"/>
      <c r="D10" s="72" t="n"/>
      <c r="E10" s="72" t="n"/>
      <c r="F10" s="72" t="inlineStr">
        <is>
          <t>Expérience Match</t>
        </is>
      </c>
      <c r="G10" s="72" t="n">
        <v>25</v>
      </c>
      <c r="H10" s="72" t="n"/>
    </row>
    <row r="11" ht="15" customHeight="1" s="70">
      <c r="A11" s="72" t="inlineStr">
        <is>
          <t>PI-1</t>
        </is>
      </c>
      <c r="B11" s="78">
        <f>SUMIF('Features &amp; US'!I:I,"PI-1",'Features &amp; US'!E:E)</f>
        <v/>
      </c>
      <c r="C11" s="72" t="inlineStr">
        <is>
          <t>PI-2</t>
        </is>
      </c>
      <c r="D11" s="78">
        <f>COUNTIF('Features &amp; US'!A:A,"E-05")</f>
        <v/>
      </c>
      <c r="E11" s="72" t="inlineStr">
        <is>
          <t>PI-3</t>
        </is>
      </c>
      <c r="F11" s="78">
        <f>COUNTIF('Features &amp; US'!A:A,"E-08")+COUNTIF('Features &amp; US'!A:A,"E-12")</f>
        <v/>
      </c>
      <c r="G11" s="72" t="n">
        <v>20</v>
      </c>
      <c r="H11" s="72" t="n"/>
    </row>
    <row r="12" ht="15" customHeight="1" s="70">
      <c r="A12" s="72" t="inlineStr">
        <is>
          <t>Q4</t>
        </is>
      </c>
      <c r="B12" s="72">
        <f>COUNTIF('Features &amp; US'!G:G,"Terminé")</f>
        <v/>
      </c>
      <c r="C12" s="72" t="n"/>
      <c r="D12" s="72" t="n"/>
      <c r="E12" s="72" t="n"/>
      <c r="F12" s="72" t="inlineStr">
        <is>
          <t>Excellence Ops</t>
        </is>
      </c>
      <c r="G12" s="72" t="n">
        <v>15</v>
      </c>
      <c r="H12" s="72" t="n"/>
    </row>
    <row r="13" ht="15" customHeight="1" s="70">
      <c r="A13" s="79" t="inlineStr">
        <is>
          <t>Risk Metrics (ROAM)</t>
        </is>
      </c>
      <c r="B13" s="72" t="n">
        <v>350</v>
      </c>
      <c r="C13" s="72" t="n"/>
      <c r="D13" s="72" t="n"/>
      <c r="E13" s="72" t="n"/>
      <c r="F13" s="72" t="n"/>
      <c r="G13" s="72" t="n"/>
      <c r="H13" s="72" t="n"/>
    </row>
    <row r="14" ht="15" customHeight="1" s="70">
      <c r="A14" s="72" t="inlineStr">
        <is>
          <t>Open Risks</t>
        </is>
      </c>
      <c r="B14" s="72">
        <f>COUNTIF(ROAM!C:C,"Owned")+COUNTIF(ROAM!C:C,"Accepted")</f>
        <v/>
      </c>
      <c r="C14" s="72" t="inlineStr">
        <is>
          <t>Resolved</t>
        </is>
      </c>
      <c r="D14" s="72">
        <f>COUNTIF(ROAM!C:C,"Resolved")+COUNTIF(ROAM!C:C,"Mitigated")</f>
        <v/>
      </c>
      <c r="E14" s="72" t="n"/>
      <c r="F14" s="72" t="n"/>
      <c r="G14" s="72" t="n"/>
      <c r="H14" s="72" t="n"/>
    </row>
    <row r="15" ht="15" customHeight="1" s="70">
      <c r="A15" s="72" t="n"/>
      <c r="B15" s="72" t="n"/>
      <c r="C15" s="72" t="n"/>
      <c r="D15" s="72" t="n"/>
      <c r="E15" s="72" t="n"/>
      <c r="F15" s="72" t="n"/>
      <c r="G15" s="72" t="n"/>
      <c r="H15" s="72" t="n"/>
    </row>
    <row r="16" ht="15" customHeight="1" s="70">
      <c r="A16" s="72" t="n"/>
      <c r="B16" s="72" t="n"/>
      <c r="C16" s="72" t="n"/>
      <c r="D16" s="72" t="n"/>
      <c r="E16" s="72" t="n"/>
      <c r="F16" s="72" t="n"/>
      <c r="G16" s="72" t="n"/>
      <c r="H16" s="72" t="n"/>
    </row>
    <row r="17" ht="15" customHeight="1" s="70">
      <c r="A17" s="72" t="n"/>
      <c r="B17" s="72" t="n"/>
      <c r="C17" s="72" t="n"/>
      <c r="D17" s="72" t="n"/>
      <c r="E17" s="72" t="n"/>
      <c r="F17" s="72" t="n"/>
      <c r="G17" s="72" t="n"/>
      <c r="H17" s="72" t="n"/>
    </row>
    <row r="18" ht="15" customHeight="1" s="70">
      <c r="A18" s="72" t="n"/>
      <c r="B18" s="72" t="n"/>
      <c r="C18" s="72" t="n"/>
      <c r="D18" s="72" t="n"/>
      <c r="E18" s="72" t="n"/>
      <c r="F18" s="72" t="n"/>
      <c r="G18" s="72" t="n"/>
      <c r="H18" s="72" t="n"/>
    </row>
    <row r="19" ht="15" customHeight="1" s="70">
      <c r="A19" s="72" t="n"/>
      <c r="B19" s="72" t="n"/>
      <c r="C19" s="72" t="n"/>
      <c r="D19" s="72" t="n"/>
      <c r="E19" s="72" t="n"/>
      <c r="F19" s="72" t="n"/>
      <c r="G19" s="72" t="n"/>
      <c r="H19" s="72" t="n"/>
    </row>
    <row r="20" ht="15" customHeight="1" s="70">
      <c r="A20" s="72" t="n"/>
      <c r="B20" s="72" t="n"/>
      <c r="C20" s="72" t="n"/>
      <c r="D20" s="72" t="n"/>
      <c r="E20" s="72" t="n"/>
      <c r="F20" s="72" t="n"/>
      <c r="G20" s="72" t="n"/>
      <c r="H20" s="72" t="n"/>
    </row>
    <row r="21" ht="15" customHeight="1" s="70">
      <c r="A21" s="72" t="n"/>
      <c r="B21" s="72" t="n"/>
      <c r="C21" s="72" t="n"/>
      <c r="D21" s="72" t="n"/>
      <c r="E21" s="72" t="n"/>
      <c r="F21" s="72" t="n"/>
      <c r="G21" s="72" t="n"/>
      <c r="H21" s="72" t="n"/>
    </row>
    <row r="22" ht="15" customHeight="1" s="70">
      <c r="A22" s="72" t="n"/>
      <c r="B22" s="72" t="n"/>
      <c r="C22" s="72" t="n"/>
      <c r="D22" s="72" t="n"/>
      <c r="E22" s="72" t="n"/>
      <c r="F22" s="72" t="n"/>
      <c r="G22" s="72" t="n"/>
      <c r="H22" s="72" t="n"/>
    </row>
    <row r="23" ht="15" customHeight="1" s="70">
      <c r="A23" s="72" t="n"/>
      <c r="B23" s="72" t="n"/>
      <c r="C23" s="72" t="n"/>
      <c r="D23" s="72" t="n"/>
      <c r="E23" s="72" t="n"/>
      <c r="F23" s="72" t="n"/>
      <c r="G23" s="72" t="n"/>
      <c r="H23" s="72" t="n"/>
    </row>
    <row r="24" ht="15" customHeight="1" s="70">
      <c r="A24" s="72" t="n"/>
      <c r="B24" s="72" t="n"/>
      <c r="C24" s="72" t="n"/>
      <c r="D24" s="72" t="n"/>
      <c r="E24" s="72" t="n"/>
      <c r="F24" s="72" t="n"/>
      <c r="G24" s="72" t="n"/>
      <c r="H24" s="72" t="n"/>
    </row>
    <row r="25" ht="15" customHeight="1" s="70">
      <c r="A25" s="72" t="n"/>
      <c r="B25" s="72" t="n"/>
      <c r="C25" s="72" t="n"/>
      <c r="D25" s="72" t="n"/>
      <c r="E25" s="72" t="n"/>
      <c r="F25" s="72" t="n"/>
      <c r="G25" s="72" t="n"/>
      <c r="H25" s="72" t="n"/>
    </row>
    <row r="26" ht="15" customHeight="1" s="70">
      <c r="A26" s="72" t="n"/>
      <c r="B26" s="72" t="n"/>
      <c r="C26" s="72" t="n"/>
      <c r="D26" s="72" t="n"/>
      <c r="E26" s="72" t="n"/>
      <c r="F26" s="72" t="n"/>
      <c r="G26" s="72" t="n"/>
      <c r="H26" s="72" t="n"/>
    </row>
    <row r="27" ht="15" customHeight="1" s="70">
      <c r="A27" s="72" t="n"/>
      <c r="B27" s="72" t="n"/>
      <c r="C27" s="72" t="n"/>
      <c r="D27" s="72" t="n"/>
      <c r="E27" s="72" t="n"/>
      <c r="F27" s="72" t="n"/>
      <c r="G27" s="72" t="n"/>
      <c r="H27" s="72" t="n"/>
    </row>
    <row r="28" ht="15" customHeight="1" s="70">
      <c r="A28" s="72" t="n"/>
      <c r="B28" s="72" t="n"/>
      <c r="C28" s="72" t="n"/>
      <c r="D28" s="72" t="n"/>
      <c r="E28" s="72" t="n"/>
      <c r="F28" s="72" t="n"/>
      <c r="G28" s="72" t="n"/>
      <c r="H28" s="72" t="n"/>
    </row>
    <row r="29" ht="15" customHeight="1" s="70">
      <c r="A29" s="72" t="n"/>
      <c r="B29" s="72" t="n"/>
      <c r="C29" s="72" t="n"/>
      <c r="D29" s="72" t="n"/>
      <c r="E29" s="72" t="n"/>
      <c r="F29" s="72" t="n"/>
      <c r="G29" s="72" t="n"/>
      <c r="H29" s="72" t="n"/>
    </row>
    <row r="30" ht="15" customHeight="1" s="70">
      <c r="A30" s="72" t="n"/>
      <c r="B30" s="72" t="n"/>
      <c r="C30" s="72" t="n"/>
      <c r="D30" s="72" t="n"/>
      <c r="E30" s="72" t="n"/>
      <c r="F30" s="72" t="n"/>
      <c r="G30" s="72" t="n"/>
      <c r="H30" s="72" t="n"/>
    </row>
    <row r="31" ht="15" customHeight="1" s="70">
      <c r="A31" s="72" t="n"/>
      <c r="B31" s="72" t="n"/>
      <c r="C31" s="72" t="n"/>
      <c r="D31" s="72" t="n"/>
      <c r="E31" s="72" t="n"/>
      <c r="F31" s="72" t="n"/>
      <c r="G31" s="72" t="n"/>
      <c r="H31" s="72" t="n"/>
    </row>
    <row r="32" ht="15" customHeight="1" s="70">
      <c r="A32" s="72" t="n"/>
      <c r="B32" s="72" t="n"/>
      <c r="C32" s="72" t="n"/>
      <c r="D32" s="72" t="n"/>
      <c r="E32" s="72" t="n"/>
      <c r="F32" s="72" t="n"/>
      <c r="G32" s="72" t="n"/>
      <c r="H32" s="72" t="n"/>
    </row>
    <row r="33" ht="15" customHeight="1" s="70">
      <c r="A33" s="72" t="n"/>
      <c r="B33" s="72" t="n"/>
      <c r="C33" s="72" t="n"/>
      <c r="D33" s="72" t="n"/>
      <c r="E33" s="72" t="n"/>
      <c r="F33" s="72" t="n"/>
      <c r="G33" s="72" t="n"/>
      <c r="H33" s="72" t="n"/>
    </row>
    <row r="34" ht="15" customHeight="1" s="70">
      <c r="A34" s="72" t="n"/>
      <c r="B34" s="72" t="n"/>
      <c r="C34" s="72" t="n"/>
      <c r="D34" s="72" t="n"/>
      <c r="E34" s="72" t="n"/>
      <c r="F34" s="72" t="n"/>
      <c r="G34" s="72" t="n"/>
      <c r="H34" s="72" t="n"/>
    </row>
    <row r="35" ht="15" customHeight="1" s="70">
      <c r="A35" s="77" t="inlineStr">
        <is>
          <t>Roadmap Summary</t>
        </is>
      </c>
      <c r="B35" s="72" t="n"/>
      <c r="C35" s="72" t="n"/>
      <c r="D35" s="72" t="n"/>
      <c r="E35" s="72" t="n"/>
      <c r="F35" s="72" t="n"/>
      <c r="G35" s="72" t="n"/>
      <c r="H35" s="72" t="n"/>
    </row>
    <row r="36" ht="15" customHeight="1" s="70">
      <c r="A36" s="72" t="n"/>
      <c r="B36" s="72" t="n"/>
      <c r="C36" s="72" t="n"/>
      <c r="D36" s="72" t="n"/>
      <c r="E36" s="72" t="n"/>
      <c r="F36" s="72" t="n"/>
      <c r="G36" s="72" t="n"/>
      <c r="H36" s="72" t="n"/>
    </row>
    <row r="37" ht="15" customHeight="1" s="70">
      <c r="A37" s="80" t="inlineStr">
        <is>
          <t>PI</t>
        </is>
      </c>
      <c r="B37" s="80" t="inlineStr">
        <is>
          <t>Period</t>
        </is>
      </c>
      <c r="C37" s="80" t="inlineStr">
        <is>
          <t>Key Initiatives</t>
        </is>
      </c>
      <c r="D37" s="72" t="n"/>
      <c r="E37" s="72" t="n"/>
      <c r="F37" s="72" t="n"/>
      <c r="G37" s="72" t="n"/>
      <c r="H37" s="72" t="n"/>
    </row>
    <row r="38" ht="15" customHeight="1" s="70">
      <c r="A38" s="72" t="inlineStr">
        <is>
          <t>PI-1</t>
        </is>
      </c>
      <c r="B38" s="72" t="inlineStr">
        <is>
          <t>Feb-Mar</t>
        </is>
      </c>
      <c r="C38" s="72" t="inlineStr">
        <is>
          <t>Sponsors + Analytics + Onboarding</t>
        </is>
      </c>
      <c r="D38" s="72" t="n"/>
      <c r="E38" s="72" t="n"/>
      <c r="F38" s="72" t="n"/>
      <c r="G38" s="72" t="n"/>
      <c r="H38" s="72" t="n"/>
    </row>
    <row r="39" ht="15" customHeight="1" s="70">
      <c r="A39" s="72" t="inlineStr">
        <is>
          <t>PI-2</t>
        </is>
      </c>
      <c r="B39" s="72" t="inlineStr">
        <is>
          <t>Apr-May</t>
        </is>
      </c>
      <c r="C39" s="72" t="inlineStr">
        <is>
          <t>Régie + Motion + Email + Score</t>
        </is>
      </c>
      <c r="D39" s="72" t="n"/>
      <c r="E39" s="72" t="n"/>
      <c r="F39" s="72" t="n"/>
      <c r="G39" s="72" t="n"/>
      <c r="H39" s="72" t="n"/>
    </row>
    <row r="40" ht="15" customHeight="1" s="70">
      <c r="A40" s="72" t="inlineStr">
        <is>
          <t>PI-3</t>
        </is>
      </c>
      <c r="B40" s="72" t="inlineStr">
        <is>
          <t>Jun-Jul</t>
        </is>
      </c>
      <c r="C40" s="72" t="inlineStr">
        <is>
          <t>Multi-écrans + Marque + Billetterie + ML + OAuth</t>
        </is>
      </c>
      <c r="D40" s="72" t="n"/>
      <c r="E40" s="72" t="n"/>
      <c r="F40" s="72" t="n"/>
      <c r="G40" s="72" t="n"/>
      <c r="H40" s="72" t="n"/>
    </row>
    <row r="41" ht="15" customHeight="1" s="70">
      <c r="A41" s="72" t="n"/>
      <c r="B41" s="72" t="n"/>
      <c r="C41" s="72" t="n"/>
      <c r="D41" s="72" t="n"/>
      <c r="E41" s="72" t="n"/>
      <c r="F41" s="72" t="n"/>
      <c r="G41" s="72" t="n"/>
      <c r="H41" s="72" t="n"/>
    </row>
    <row r="42" ht="15" customHeight="1" s="70">
      <c r="A42" s="81" t="inlineStr">
        <is>
          <t>Navigation rapide :</t>
        </is>
      </c>
      <c r="B42" s="82" t="inlineStr">
        <is>
          <t>Vision &amp; OKR</t>
        </is>
      </c>
      <c r="C42" s="82" t="inlineStr">
        <is>
          <t>Value Streams</t>
        </is>
      </c>
      <c r="D42" s="82" t="inlineStr">
        <is>
          <t>Epics &amp; LBC</t>
        </is>
      </c>
      <c r="E42" s="82" t="inlineStr">
        <is>
          <t>Features &amp; US</t>
        </is>
      </c>
      <c r="F42" s="82" t="inlineStr">
        <is>
          <t>Implemented Backlog</t>
        </is>
      </c>
      <c r="G42" s="72" t="n"/>
      <c r="H42" s="72" t="n"/>
    </row>
  </sheetData>
  <mergeCells count="1">
    <mergeCell ref="A1:H1"/>
  </mergeCells>
  <hyperlinks>
    <hyperlink xmlns:r="http://schemas.openxmlformats.org/officeDocument/2006/relationships" ref="A3" location="'Epics%20&amp;%20LBC'!A1" display="file:///sessions/affectionate-practical-hamilton/mnt/neopro/docs/safe/NEOPRO_SAFe_Portfolio.xlsx#'Epics%20&amp;%20LBC'!A1" r:id="rId1"/>
    <hyperlink xmlns:r="http://schemas.openxmlformats.org/officeDocument/2006/relationships" ref="C3" location="'Features%20&amp;%20US'!A1" display="file:///sessions/affectionate-practical-hamilton/mnt/neopro/docs/safe/NEOPRO_SAFe_Portfolio.xlsx#'Features%20&amp;%20US'!A1" r:id="rId2"/>
    <hyperlink xmlns:r="http://schemas.openxmlformats.org/officeDocument/2006/relationships" ref="A8" location="'Epics%20&amp;%20LBC'!A1" display="Epics Metrics" r:id="rId3"/>
    <hyperlink xmlns:r="http://schemas.openxmlformats.org/officeDocument/2006/relationships" ref="B9" location="'Epics%20&amp;%20LBC'!A1" display="file:///sessions/affectionate-practical-hamilton/mnt/neopro/docs/safe/NEOPRO_SAFe_Portfolio.xlsx#'Epics%20&amp;%20LBC'!A1" r:id="rId4"/>
    <hyperlink xmlns:r="http://schemas.openxmlformats.org/officeDocument/2006/relationships" ref="D9" location="'Epics%20&amp;%20LBC'!A1" display="file:///sessions/affectionate-practical-hamilton/mnt/neopro/docs/safe/NEOPRO_SAFe_Portfolio.xlsx#'Epics%20&amp;%20LBC'!A1" r:id="rId5"/>
    <hyperlink xmlns:r="http://schemas.openxmlformats.org/officeDocument/2006/relationships" ref="E9" location="'Implemented%20Backlog'!A1" display="Backlog" r:id="rId6"/>
    <hyperlink xmlns:r="http://schemas.openxmlformats.org/officeDocument/2006/relationships" ref="F9" location="'Epics%20&amp;%20LBC'!A1" display="file:///sessions/affectionate-practical-hamilton/mnt/neopro/docs/safe/NEOPRO_SAFe_Portfolio.xlsx#'Epics%20&amp;%20LBC'!A1" r:id="rId7"/>
    <hyperlink xmlns:r="http://schemas.openxmlformats.org/officeDocument/2006/relationships" ref="A10" location="'Features%20&amp;%20US'!A1" display="Features Metrics" r:id="rId8"/>
    <hyperlink xmlns:r="http://schemas.openxmlformats.org/officeDocument/2006/relationships" ref="B11" location="'Features%20&amp;%20US'!A1" display="file:///sessions/affectionate-practical-hamilton/mnt/neopro/docs/safe/NEOPRO_SAFe_Portfolio.xlsx#'Features%20&amp;%20US'!A1" r:id="rId9"/>
    <hyperlink xmlns:r="http://schemas.openxmlformats.org/officeDocument/2006/relationships" ref="D11" location="'Features%20&amp;%20US'!A1" display="file:///sessions/affectionate-practical-hamilton/mnt/neopro/docs/safe/NEOPRO_SAFe_Portfolio.xlsx#'Features%20&amp;%20US'!A1" r:id="rId10"/>
    <hyperlink xmlns:r="http://schemas.openxmlformats.org/officeDocument/2006/relationships" ref="F11" location="'Features%20&amp;%20US'!A1" display="file:///sessions/affectionate-practical-hamilton/mnt/neopro/docs/safe/NEOPRO_SAFe_Portfolio.xlsx#'Features%20&amp;%20US'!A1" r:id="rId11"/>
    <hyperlink ref="A13" location="'ROAM'!A1" display="Risk Metrics (ROAM)"/>
    <hyperlink xmlns:r="http://schemas.openxmlformats.org/officeDocument/2006/relationships" ref="B42" location="'Vision%20&amp;%20OKR'!A1" display="Vision &amp; OKR" r:id="rId12"/>
    <hyperlink xmlns:r="http://schemas.openxmlformats.org/officeDocument/2006/relationships" ref="C42" location="'Value%20Streams'!A1" display="Value Streams" r:id="rId13"/>
    <hyperlink xmlns:r="http://schemas.openxmlformats.org/officeDocument/2006/relationships" ref="D42" location="'Epics%20&amp;%20LBC'!A1" display="Epics &amp; LBC" r:id="rId14"/>
    <hyperlink xmlns:r="http://schemas.openxmlformats.org/officeDocument/2006/relationships" ref="E42" location="'Features%20&amp;%20US'!A1" display="Features &amp; US" r:id="rId15"/>
    <hyperlink xmlns:r="http://schemas.openxmlformats.org/officeDocument/2006/relationships" ref="F42" location="'Implemented%20Backlog'!A1" display="Implemented Backlog"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7"/>
</worksheet>
</file>

<file path=xl/worksheets/sheet2.xml><?xml version="1.0" encoding="utf-8"?>
<worksheet xmlns="http://schemas.openxmlformats.org/spreadsheetml/2006/main">
  <sheetPr filterMode="0">
    <outlinePr summaryBelow="1" summaryRight="1"/>
    <pageSetUpPr fitToPage="0"/>
  </sheetPr>
  <dimension ref="A1:B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0" customWidth="1" style="69" min="1" max="1"/>
    <col width="70" customWidth="1" style="69" min="2" max="2"/>
  </cols>
  <sheetData>
    <row r="1" ht="15" customHeight="1" s="70">
      <c r="A1" s="83" t="inlineStr">
        <is>
          <t>Glossaire SAFe pour Gabin</t>
        </is>
      </c>
    </row>
    <row r="2" ht="15" customHeight="1" s="70">
      <c r="A2" s="80" t="inlineStr">
        <is>
          <t>Terme</t>
        </is>
      </c>
      <c r="B2" s="80" t="inlineStr">
        <is>
          <t>Définition</t>
        </is>
      </c>
    </row>
    <row r="3" ht="15" customHeight="1" s="70">
      <c r="A3" s="84" t="inlineStr">
        <is>
          <t>Epic</t>
        </is>
      </c>
      <c r="B3" s="84" t="inlineStr">
        <is>
          <t>Grande initiative couvrant plusieurs Features, liée à une stratégie business</t>
        </is>
      </c>
    </row>
    <row r="4" ht="15" customHeight="1" s="70">
      <c r="A4" s="84" t="inlineStr">
        <is>
          <t>Feature</t>
        </is>
      </c>
      <c r="B4" s="84" t="inlineStr">
        <is>
          <t>Bloc fonctionnel apportant valeur, découpé en User Stories</t>
        </is>
      </c>
    </row>
    <row r="5" ht="15" customHeight="1" s="70">
      <c r="A5" s="84" t="inlineStr">
        <is>
          <t>User Story</t>
        </is>
      </c>
      <c r="B5" s="84" t="inlineStr">
        <is>
          <t>Récit utilisateur livrable en 1-2 sprints (taille ~5 SP)</t>
        </is>
      </c>
    </row>
    <row r="6" ht="15" customHeight="1" s="70">
      <c r="A6" s="84" t="inlineStr">
        <is>
          <t>Story Point (SP)</t>
        </is>
      </c>
      <c r="B6" s="84" t="inlineStr">
        <is>
          <t>Unité de complexité relative (Fibonacci: 1,2,3,5,8...)</t>
        </is>
      </c>
    </row>
    <row r="7" ht="15" customHeight="1" s="70">
      <c r="A7" s="84" t="inlineStr">
        <is>
          <t>Sprint</t>
        </is>
      </c>
      <c r="B7" s="84" t="inlineStr">
        <is>
          <t>Itération 2 semaines de travail continu</t>
        </is>
      </c>
    </row>
    <row r="8" ht="15" customHeight="1" s="70">
      <c r="A8" s="84" t="inlineStr">
        <is>
          <t>PI (Program Increment)</t>
        </is>
      </c>
      <c r="B8" s="84" t="inlineStr">
        <is>
          <t>Trim de 3 mois = 6 sprints alignés</t>
        </is>
      </c>
    </row>
    <row r="9" ht="15" customHeight="1" s="70">
      <c r="A9" s="84" t="inlineStr">
        <is>
          <t>Value Stream</t>
        </is>
      </c>
      <c r="B9" s="84" t="inlineStr">
        <is>
          <t>Flux continu de création de valeur (OVS ou DVS)</t>
        </is>
      </c>
    </row>
    <row r="10" ht="15" customHeight="1" s="70">
      <c r="A10" s="84" t="inlineStr">
        <is>
          <t>WSJF (Weighted Shortest Job First)</t>
        </is>
      </c>
      <c r="B10" s="84" t="inlineStr">
        <is>
          <t>Priorisation: (User-Biz-Time-RR) / Job Size</t>
        </is>
      </c>
    </row>
    <row r="11" ht="15" customHeight="1" s="70">
      <c r="A11" s="84" t="inlineStr">
        <is>
          <t>MoSCoW</t>
        </is>
      </c>
      <c r="B11" s="84" t="inlineStr">
        <is>
          <t>Must (obligatoire), Should (important), Could (sympa), Won't (exclu)</t>
        </is>
      </c>
    </row>
    <row r="12" ht="15" customHeight="1" s="70">
      <c r="A12" s="84" t="inlineStr">
        <is>
          <t>Lean Business Case</t>
        </is>
      </c>
      <c r="B12" s="84" t="inlineStr">
        <is>
          <t>Justification business simplifée (coût vs bénéfice)</t>
        </is>
      </c>
    </row>
    <row r="13" ht="15" customHeight="1" s="70">
      <c r="A13" s="84" t="inlineStr">
        <is>
          <t>Critères d'acceptation</t>
        </is>
      </c>
      <c r="B13" s="84" t="inlineStr">
        <is>
          <t>Conditions pour que la US soit "Done" (définition</t>
        </is>
      </c>
    </row>
    <row r="14" ht="15" customHeight="1" s="70">
      <c r="A14" s="84" t="inlineStr">
        <is>
          <t>Backlog</t>
        </is>
      </c>
      <c r="B14" s="84" t="inlineStr">
        <is>
          <t>Pile ordonnée de Features/US prêtes ou futures</t>
        </is>
      </c>
    </row>
    <row r="15" ht="15" customHeight="1" s="70">
      <c r="A15" s="84" t="inlineStr">
        <is>
          <t>Velocity</t>
        </is>
      </c>
      <c r="B15" s="84" t="inlineStr">
        <is>
          <t>SP livrés en moyenne par sprint (mesure de cadence)</t>
        </is>
      </c>
    </row>
    <row r="16" ht="15" customHeight="1" s="70">
      <c r="A16" s="84" t="inlineStr">
        <is>
          <t>Carry-over</t>
        </is>
      </c>
      <c r="B16" s="84" t="inlineStr">
        <is>
          <t>US commencée mais non finie avant fin de sprint</t>
        </is>
      </c>
    </row>
    <row r="17" ht="15" customHeight="1" s="70">
      <c r="A17" s="84" t="inlineStr">
        <is>
          <t>Business Value (BV)</t>
        </is>
      </c>
      <c r="B17" s="84" t="inlineStr">
        <is>
          <t>Score 1-10 indiquant impact client/revenu (PI Objective)</t>
        </is>
      </c>
    </row>
    <row r="18" ht="15" customHeight="1" s="70">
      <c r="A18" s="84" t="inlineStr">
        <is>
          <t>Predictability</t>
        </is>
      </c>
      <c r="B18" s="84" t="inlineStr">
        <is>
          <t>% d'objectives commis atteints dans le PI</t>
        </is>
      </c>
    </row>
    <row r="19" ht="15" customHeight="1" s="70">
      <c r="A19" s="84" t="inlineStr">
        <is>
          <t>ROAM</t>
        </is>
      </c>
      <c r="B19" s="84" t="inlineStr">
        <is>
          <t>Risk log: Resolved, Owned, Accepted, Mitigated</t>
        </is>
      </c>
    </row>
    <row r="20" ht="15" customHeight="1" s="70">
      <c r="A20" s="84" t="inlineStr">
        <is>
          <t>Flow Metrics</t>
        </is>
      </c>
      <c r="B20" s="84" t="inlineStr">
        <is>
          <t>WIP, Throughput, Cycle Time pour chaque Value Stream</t>
        </is>
      </c>
    </row>
    <row r="21" ht="15" customHeight="1" s="70">
      <c r="A21" s="84" t="inlineStr">
        <is>
          <t>WIP (Work In Progress)</t>
        </is>
      </c>
      <c r="B21" s="84" t="inlineStr">
        <is>
          <t>Limite de tâches simultanées pour fluider</t>
        </is>
      </c>
    </row>
    <row r="22" ht="15" customHeight="1" s="70">
      <c r="A22" s="84" t="inlineStr">
        <is>
          <t>CFD (Cumulative Flow Diagram)</t>
        </is>
      </c>
      <c r="B22" s="84" t="inlineStr">
        <is>
          <t>Graphe d'accumulation des status (backlog → done)</t>
        </is>
      </c>
    </row>
    <row r="23" ht="15" customHeight="1" s="70">
      <c r="A23" s="84" t="inlineStr">
        <is>
          <t>DVS (Dedicated Value Stream)</t>
        </is>
      </c>
      <c r="B23" s="84" t="inlineStr">
        <is>
          <t>VS interne Neopro (plateforme produit)</t>
        </is>
      </c>
    </row>
    <row r="24" ht="15" customHeight="1" s="70">
      <c r="A24" s="84" t="inlineStr">
        <is>
          <t>OVS (Outcome Value Stream)</t>
        </is>
      </c>
      <c r="B24" s="84" t="inlineStr">
        <is>
          <t>VS client (club à écran, sponsor à impression)</t>
        </is>
      </c>
    </row>
    <row r="25" ht="15" customHeight="1" s="70">
      <c r="A25" s="84" t="inlineStr">
        <is>
          <t>I&amp;A (Inspect &amp; Adapt)</t>
        </is>
      </c>
      <c r="B25" s="84" t="inlineStr">
        <is>
          <t>Rétrospective SAFe collective tous les PIs</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0" customWidth="1" style="69" min="1" max="1"/>
    <col width="38" customWidth="1" style="69" min="2" max="2"/>
    <col width="8" customWidth="1" style="69" min="3" max="3"/>
    <col width="50" customWidth="1" style="69" min="4" max="4"/>
    <col width="16" customWidth="1" style="69" min="5" max="5"/>
    <col width="14" customWidth="1" style="69" min="6" max="6"/>
  </cols>
  <sheetData>
    <row r="1" ht="30" customHeight="1" s="70">
      <c r="A1" s="85" t="inlineStr">
        <is>
          <t>NEOPRO — Vision, Thèmes Stratégiques &amp; OKR 2026</t>
        </is>
      </c>
    </row>
    <row r="2" ht="15" customHeight="1" s="70">
      <c r="A2" s="72" t="n"/>
      <c r="B2" s="72" t="n"/>
      <c r="C2" s="72" t="n"/>
      <c r="D2" s="72" t="n"/>
      <c r="E2" s="72" t="n"/>
      <c r="F2" s="72" t="n"/>
    </row>
    <row r="3" ht="24" customHeight="1" s="70">
      <c r="A3" s="86" t="inlineStr">
        <is>
          <t>Vision Produit</t>
        </is>
      </c>
    </row>
    <row r="4" ht="15" customHeight="1" s="70">
      <c r="A4" s="72" t="n"/>
      <c r="B4" s="72" t="n"/>
      <c r="C4" s="72" t="n"/>
      <c r="D4" s="72" t="n"/>
      <c r="E4" s="72" t="n"/>
      <c r="F4" s="72" t="n"/>
    </row>
    <row r="5" ht="39.75" customHeight="1" s="70">
      <c r="A5" s="87" t="inlineStr">
        <is>
          <t>Devenir la plateforme TV interactive de référence pour les clubs sportifs amateurs en France, en connectant clubs, annonceurs et fans via un écosystème vidéo piloté par la data.</t>
        </is>
      </c>
    </row>
    <row r="6" ht="15" customHeight="1" s="70">
      <c r="A6" s="72" t="n"/>
      <c r="B6" s="72" t="n"/>
      <c r="C6" s="72" t="n"/>
      <c r="D6" s="72" t="n"/>
      <c r="E6" s="72" t="n"/>
      <c r="F6" s="72" t="n"/>
    </row>
    <row r="7" ht="24" customHeight="1" s="70">
      <c r="A7" s="86" t="inlineStr">
        <is>
          <t>4 Thèmes Stratégiques</t>
        </is>
      </c>
    </row>
    <row r="8" ht="21.75" customHeight="1" s="70">
      <c r="A8" s="88" t="inlineStr">
        <is>
          <t>ID</t>
        </is>
      </c>
      <c r="B8" s="88" t="inlineStr">
        <is>
          <t>Thème</t>
        </is>
      </c>
      <c r="C8" s="88" t="inlineStr">
        <is>
          <t>Description</t>
        </is>
      </c>
      <c r="D8" s="88" t="inlineStr">
        <is>
          <t>OVS lié</t>
        </is>
      </c>
      <c r="E8" s="88" t="inlineStr">
        <is>
          <t>Horizon</t>
        </is>
      </c>
      <c r="F8" s="88" t="inlineStr">
        <is>
          <t>Poids budget</t>
        </is>
      </c>
    </row>
    <row r="9" ht="157.5" customHeight="1" s="70">
      <c r="A9" s="89" t="inlineStr">
        <is>
          <t>TS-1</t>
        </is>
      </c>
      <c r="B9" s="89" t="inlineStr">
        <is>
          <t>Monétisation Sponsors</t>
        </is>
      </c>
      <c r="C9" s="89" t="inlineStr">
        <is>
          <t>Maximiser les revenus sponsors par club via le ciblage local, les preuves de diffusion et le self-service annonceur</t>
        </is>
      </c>
      <c r="D9" s="89" t="inlineStr">
        <is>
          <t>OVS-2</t>
        </is>
      </c>
      <c r="E9" s="89" t="inlineStr">
        <is>
          <t>PI-1 → PI-3</t>
        </is>
      </c>
      <c r="F9" s="89" t="inlineStr">
        <is>
          <t>35%</t>
        </is>
      </c>
    </row>
    <row r="10" ht="147.75" customHeight="1" s="70">
      <c r="A10" s="90" t="inlineStr">
        <is>
          <t>TS-2</t>
        </is>
      </c>
      <c r="B10" s="90" t="inlineStr">
        <is>
          <t>Expérience Match Live</t>
        </is>
      </c>
      <c r="C10" s="90" t="inlineStr">
        <is>
          <t>Offrir la meilleure expérience match jour (overlay multi-sport, timer, recording, phases) pour engager les clubs</t>
        </is>
      </c>
      <c r="D10" s="90" t="inlineStr">
        <is>
          <t>OVS-1</t>
        </is>
      </c>
      <c r="E10" s="90" t="inlineStr">
        <is>
          <t>PI-1 → PI-2</t>
        </is>
      </c>
      <c r="F10" s="90" t="inlineStr">
        <is>
          <t>25%</t>
        </is>
      </c>
    </row>
    <row r="11" ht="126.75" customHeight="1" s="70">
      <c r="A11" s="89" t="inlineStr">
        <is>
          <t>TS-3</t>
        </is>
      </c>
      <c r="B11" s="89" t="inlineStr">
        <is>
          <t>Acquisition &amp; Croissance</t>
        </is>
      </c>
      <c r="C11" s="89" t="inlineStr">
        <is>
          <t>Accélérer l'onboarding clubs (time-to-value &lt;1j), réduire le churn (&lt;5%/an), atteindre 100 clubs actifs</t>
        </is>
      </c>
      <c r="D11" s="89" t="inlineStr">
        <is>
          <t>OVS-1 + OVS-2</t>
        </is>
      </c>
      <c r="E11" s="89" t="inlineStr">
        <is>
          <t>PI-2 → PI-3</t>
        </is>
      </c>
      <c r="F11" s="89" t="inlineStr">
        <is>
          <t>20%</t>
        </is>
      </c>
    </row>
    <row r="12" ht="116.25" customHeight="1" s="70">
      <c r="A12" s="90" t="inlineStr">
        <is>
          <t>TS-4</t>
        </is>
      </c>
      <c r="B12" s="90" t="inlineStr">
        <is>
          <t>Excellence Opérationnelle</t>
        </is>
      </c>
      <c r="C12" s="90" t="inlineStr">
        <is>
          <t>Garantir 99.5% uptime, &lt;2h MTTR, monitoring proactif, OTA fiable, réseau résilient</t>
        </is>
      </c>
      <c r="D12" s="90" t="inlineStr">
        <is>
          <t>DVS-1</t>
        </is>
      </c>
      <c r="E12" s="90" t="inlineStr">
        <is>
          <t>Continu</t>
        </is>
      </c>
      <c r="F12" s="90" t="inlineStr">
        <is>
          <t>20%</t>
        </is>
      </c>
    </row>
    <row r="13" ht="15" customHeight="1" s="70">
      <c r="A13" s="72" t="n"/>
      <c r="B13" s="72" t="n"/>
      <c r="C13" s="72" t="n"/>
      <c r="D13" s="72" t="n"/>
      <c r="E13" s="72" t="n"/>
      <c r="F13" s="72" t="n"/>
    </row>
    <row r="14" ht="24" customHeight="1" s="70">
      <c r="A14" s="86" t="inlineStr">
        <is>
          <t>OKR 2026 — Objectifs &amp; Key Results</t>
        </is>
      </c>
    </row>
    <row r="15" ht="15" customHeight="1" s="70">
      <c r="A15" s="88" t="inlineStr">
        <is>
          <t>Obj #</t>
        </is>
      </c>
      <c r="B15" s="88" t="inlineStr">
        <is>
          <t>Objectif</t>
        </is>
      </c>
      <c r="C15" s="88" t="inlineStr">
        <is>
          <t>KR #</t>
        </is>
      </c>
      <c r="D15" s="88" t="inlineStr">
        <is>
          <t>Key Result</t>
        </is>
      </c>
      <c r="E15" s="88" t="inlineStr">
        <is>
          <t>Thème</t>
        </is>
      </c>
      <c r="F15" s="88" t="inlineStr">
        <is>
          <t>Target</t>
        </is>
      </c>
    </row>
    <row r="16" ht="15" customHeight="1" s="70">
      <c r="A16" s="89" t="inlineStr">
        <is>
          <t>O1</t>
        </is>
      </c>
      <c r="B16" s="89" t="inlineStr">
        <is>
          <t>Atteindre 100K€ ARR sponsor</t>
        </is>
      </c>
      <c r="C16" s="89" t="inlineStr">
        <is>
          <t>1.1</t>
        </is>
      </c>
      <c r="D16" s="89" t="inlineStr">
        <is>
          <t>Activer 50+ annonceurs payants</t>
        </is>
      </c>
      <c r="E16" s="89" t="inlineStr">
        <is>
          <t>TS-1</t>
        </is>
      </c>
      <c r="F16" s="89" t="inlineStr">
        <is>
          <t>Déc 2026</t>
        </is>
      </c>
    </row>
    <row r="17" ht="15" customHeight="1" s="70">
      <c r="A17" s="90" t="n"/>
      <c r="B17" s="90" t="n"/>
      <c r="C17" s="90" t="inlineStr">
        <is>
          <t>1.2</t>
        </is>
      </c>
      <c r="D17" s="90" t="inlineStr">
        <is>
          <t>ARPU sponsor &gt;200€/mois</t>
        </is>
      </c>
      <c r="E17" s="90" t="inlineStr">
        <is>
          <t>TS-1</t>
        </is>
      </c>
      <c r="F17" s="90" t="inlineStr">
        <is>
          <t>Q3 2026</t>
        </is>
      </c>
    </row>
    <row r="18" ht="15" customHeight="1" s="70">
      <c r="A18" s="89" t="n"/>
      <c r="B18" s="89" t="n"/>
      <c r="C18" s="89" t="inlineStr">
        <is>
          <t>1.3</t>
        </is>
      </c>
      <c r="D18" s="89" t="inlineStr">
        <is>
          <t>Proof of broadcast certifié sur 100% des impressions</t>
        </is>
      </c>
      <c r="E18" s="89" t="inlineStr">
        <is>
          <t>TS-1</t>
        </is>
      </c>
      <c r="F18" s="89" t="inlineStr">
        <is>
          <t>Q2 2026</t>
        </is>
      </c>
    </row>
    <row r="19" ht="15" customHeight="1" s="70">
      <c r="A19" s="90" t="inlineStr">
        <is>
          <t>O2</t>
        </is>
      </c>
      <c r="B19" s="90" t="inlineStr">
        <is>
          <t>Engager 100 clubs actifs</t>
        </is>
      </c>
      <c r="C19" s="90" t="inlineStr">
        <is>
          <t>2.1</t>
        </is>
      </c>
      <c r="D19" s="90" t="inlineStr">
        <is>
          <t>Onboarder 25 clubs en Q1-Q2</t>
        </is>
      </c>
      <c r="E19" s="90" t="inlineStr">
        <is>
          <t>TS-3</t>
        </is>
      </c>
      <c r="F19" s="90" t="inlineStr">
        <is>
          <t>Juin 2026</t>
        </is>
      </c>
    </row>
    <row r="20" ht="15" customHeight="1" s="70">
      <c r="A20" s="89" t="n"/>
      <c r="B20" s="89" t="n"/>
      <c r="C20" s="89" t="inlineStr">
        <is>
          <t>2.2</t>
        </is>
      </c>
      <c r="D20" s="89" t="inlineStr">
        <is>
          <t>Taux d'activation &gt;80% (1er match dans les 7 jours)</t>
        </is>
      </c>
      <c r="E20" s="89" t="inlineStr">
        <is>
          <t>TS-3</t>
        </is>
      </c>
      <c r="F20" s="89" t="inlineStr">
        <is>
          <t>Continu</t>
        </is>
      </c>
    </row>
    <row r="21" ht="15" customHeight="1" s="70">
      <c r="A21" s="90" t="n"/>
      <c r="B21" s="90" t="n"/>
      <c r="C21" s="90" t="inlineStr">
        <is>
          <t>2.3</t>
        </is>
      </c>
      <c r="D21" s="90" t="inlineStr">
        <is>
          <t>NPS club ≥ 8/10</t>
        </is>
      </c>
      <c r="E21" s="90" t="inlineStr">
        <is>
          <t>TS-2</t>
        </is>
      </c>
      <c r="F21" s="90" t="inlineStr">
        <is>
          <t>Q4 2026</t>
        </is>
      </c>
    </row>
    <row r="22" ht="15" customHeight="1" s="70">
      <c r="A22" s="89" t="n"/>
      <c r="B22" s="89" t="n"/>
      <c r="C22" s="89" t="inlineStr">
        <is>
          <t>2.4</t>
        </is>
      </c>
      <c r="D22" s="89" t="inlineStr">
        <is>
          <t>Churn &lt;5% annuel</t>
        </is>
      </c>
      <c r="E22" s="89" t="inlineStr">
        <is>
          <t>TS-3</t>
        </is>
      </c>
      <c r="F22" s="89" t="inlineStr">
        <is>
          <t>Déc 2026</t>
        </is>
      </c>
    </row>
    <row r="23" ht="15" customHeight="1" s="70">
      <c r="A23" s="91" t="inlineStr">
        <is>
          <t>O3</t>
        </is>
      </c>
      <c r="B23" s="91" t="inlineStr">
        <is>
          <t>Excellence match day</t>
        </is>
      </c>
      <c r="C23" s="91" t="inlineStr">
        <is>
          <t>3.1</t>
        </is>
      </c>
      <c r="D23" s="91" t="inlineStr">
        <is>
          <t>6 sports supportés en overlay (fait)</t>
        </is>
      </c>
      <c r="E23" s="91" t="inlineStr">
        <is>
          <t>TS-2</t>
        </is>
      </c>
      <c r="F23" s="91" t="inlineStr">
        <is>
          <t>✅ Done</t>
        </is>
      </c>
    </row>
    <row r="24" ht="15" customHeight="1" s="70">
      <c r="A24" s="89" t="n"/>
      <c r="B24" s="89" t="n"/>
      <c r="C24" s="89" t="inlineStr">
        <is>
          <t>3.2</t>
        </is>
      </c>
      <c r="D24" s="89" t="inlineStr">
        <is>
          <t>Latence télécommande &lt; 200ms (local) / &lt;2s (cloud)</t>
        </is>
      </c>
      <c r="E24" s="89" t="inlineStr">
        <is>
          <t>TS-2</t>
        </is>
      </c>
      <c r="F24" s="89" t="inlineStr">
        <is>
          <t>Q1 2026</t>
        </is>
      </c>
    </row>
    <row r="25" ht="15" customHeight="1" s="70">
      <c r="A25" s="90" t="n"/>
      <c r="B25" s="90" t="n"/>
      <c r="C25" s="90" t="inlineStr">
        <is>
          <t>3.3</t>
        </is>
      </c>
      <c r="D25" s="90" t="inlineStr">
        <is>
          <t>Score CSAT bénévole &gt; 4.5/5</t>
        </is>
      </c>
      <c r="E25" s="90" t="inlineStr">
        <is>
          <t>TS-2</t>
        </is>
      </c>
      <c r="F25" s="90" t="inlineStr">
        <is>
          <t>Q3 2026</t>
        </is>
      </c>
    </row>
    <row r="26" ht="15" customHeight="1" s="70">
      <c r="A26" s="89" t="inlineStr">
        <is>
          <t>O4</t>
        </is>
      </c>
      <c r="B26" s="89" t="inlineStr">
        <is>
          <t>Infrastruture fiable</t>
        </is>
      </c>
      <c r="C26" s="89" t="inlineStr">
        <is>
          <t>4.1</t>
        </is>
      </c>
      <c r="D26" s="89" t="inlineStr">
        <is>
          <t>Uptime API 99.5%</t>
        </is>
      </c>
      <c r="E26" s="89" t="inlineStr">
        <is>
          <t>TS-4</t>
        </is>
      </c>
      <c r="F26" s="89" t="inlineStr">
        <is>
          <t>Continu</t>
        </is>
      </c>
    </row>
    <row r="27" ht="15" customHeight="1" s="70">
      <c r="A27" s="90" t="n"/>
      <c r="B27" s="90" t="n"/>
      <c r="C27" s="90" t="inlineStr">
        <is>
          <t>4.2</t>
        </is>
      </c>
      <c r="D27" s="90" t="inlineStr">
        <is>
          <t>MTTR incident &lt; 2h</t>
        </is>
      </c>
      <c r="E27" s="90" t="inlineStr">
        <is>
          <t>TS-4</t>
        </is>
      </c>
      <c r="F27" s="90" t="inlineStr">
        <is>
          <t>Continu</t>
        </is>
      </c>
    </row>
    <row r="28" ht="15" customHeight="1" s="70">
      <c r="A28" s="89" t="n"/>
      <c r="B28" s="89" t="n"/>
      <c r="C28" s="89" t="inlineStr">
        <is>
          <t>4.3</t>
        </is>
      </c>
      <c r="D28" s="89" t="inlineStr">
        <is>
          <t>0 perte de données vidéo/config (checksum SHA-256)</t>
        </is>
      </c>
      <c r="E28" s="89" t="inlineStr">
        <is>
          <t>TS-4</t>
        </is>
      </c>
      <c r="F28" s="89" t="inlineStr">
        <is>
          <t>Continu</t>
        </is>
      </c>
    </row>
    <row r="29" ht="15" customHeight="1" s="70">
      <c r="A29" s="90" t="n"/>
      <c r="B29" s="90" t="n"/>
      <c r="C29" s="90" t="inlineStr">
        <is>
          <t>4.4</t>
        </is>
      </c>
      <c r="D29" s="90" t="inlineStr">
        <is>
          <t>OTA success rate &gt; 95%</t>
        </is>
      </c>
      <c r="E29" s="90" t="inlineStr">
        <is>
          <t>TS-4</t>
        </is>
      </c>
      <c r="F29" s="90" t="inlineStr">
        <is>
          <t>Q2 2026</t>
        </is>
      </c>
    </row>
    <row r="30" ht="15" customHeight="1" s="70">
      <c r="A30" s="89" t="inlineStr">
        <is>
          <t>O5</t>
        </is>
      </c>
      <c r="B30" s="89" t="inlineStr">
        <is>
          <t>Scalabilité tech</t>
        </is>
      </c>
      <c r="C30" s="89" t="inlineStr">
        <is>
          <t>5.1</t>
        </is>
      </c>
      <c r="D30" s="89" t="inlineStr">
        <is>
          <t>API partenaires &lt; 100ms p95</t>
        </is>
      </c>
      <c r="E30" s="89" t="inlineStr">
        <is>
          <t>TS-3</t>
        </is>
      </c>
      <c r="F30" s="89" t="inlineStr">
        <is>
          <t>Q4 2026</t>
        </is>
      </c>
    </row>
    <row r="31" ht="15" customHeight="1" s="70">
      <c r="A31" s="90" t="n"/>
      <c r="B31" s="90" t="n"/>
      <c r="C31" s="90" t="inlineStr">
        <is>
          <t>5.2</t>
        </is>
      </c>
      <c r="D31" s="90" t="inlineStr">
        <is>
          <t>Tests coverage &gt; 75% (actuellement ~2387 tests)</t>
        </is>
      </c>
      <c r="E31" s="90" t="inlineStr">
        <is>
          <t>TS-4</t>
        </is>
      </c>
      <c r="F31" s="90" t="inlineStr">
        <is>
          <t>Q3 2026</t>
        </is>
      </c>
    </row>
    <row r="32" ht="15" customHeight="1" s="70">
      <c r="A32" s="89" t="n"/>
      <c r="B32" s="89" t="n"/>
      <c r="C32" s="89" t="inlineStr">
        <is>
          <t>5.3</t>
        </is>
      </c>
      <c r="D32" s="89" t="inlineStr">
        <is>
          <t>Pipeline CI &lt; 5min</t>
        </is>
      </c>
      <c r="E32" s="89" t="inlineStr">
        <is>
          <t>TS-4</t>
        </is>
      </c>
      <c r="F32" s="89" t="inlineStr">
        <is>
          <t>Q2 2026</t>
        </is>
      </c>
    </row>
    <row r="33" ht="15" customHeight="1" s="70">
      <c r="A33" s="72" t="n"/>
      <c r="B33" s="72" t="n"/>
      <c r="C33" s="72" t="n"/>
      <c r="D33" s="72" t="n"/>
      <c r="E33" s="72" t="n"/>
      <c r="F33" s="72" t="n"/>
    </row>
    <row r="34" ht="24" customHeight="1" s="70">
      <c r="A34" s="86" t="inlineStr">
        <is>
          <t>KPI Actuels (Fév 2026)</t>
        </is>
      </c>
    </row>
    <row r="35" ht="15" customHeight="1" s="70">
      <c r="A35" s="88" t="inlineStr">
        <is>
          <t>KPI</t>
        </is>
      </c>
      <c r="B35" s="88" t="inlineStr">
        <is>
          <t>Valeur actuelle</t>
        </is>
      </c>
      <c r="C35" s="88" t="inlineStr">
        <is>
          <t>Target</t>
        </is>
      </c>
      <c r="D35" s="88" t="inlineStr">
        <is>
          <t>Statut</t>
        </is>
      </c>
      <c r="E35" s="88" t="inlineStr">
        <is>
          <t>Source</t>
        </is>
      </c>
      <c r="F35" s="88" t="n"/>
    </row>
    <row r="36" ht="32.25" customHeight="1" s="70">
      <c r="A36" s="89" t="inlineStr">
        <is>
          <t>Clubs actifs (Pi connectés)</t>
        </is>
      </c>
      <c r="B36" s="89" t="inlineStr">
        <is>
          <t>50+</t>
        </is>
      </c>
      <c r="C36" s="89" t="inlineStr">
        <is>
          <t>100</t>
        </is>
      </c>
      <c r="D36" s="89" t="inlineStr">
        <is>
          <t>🟡 En cours</t>
        </is>
      </c>
      <c r="E36" s="89" t="inlineStr">
        <is>
          <t>Dashboard fleet</t>
        </is>
      </c>
      <c r="F36" s="89" t="n"/>
    </row>
    <row r="37" ht="21.75" customHeight="1" s="70">
      <c r="A37" s="90" t="inlineStr">
        <is>
          <t>Annonceurs actifs</t>
        </is>
      </c>
      <c r="B37" s="90" t="inlineStr">
        <is>
          <t>~10</t>
        </is>
      </c>
      <c r="C37" s="90" t="inlineStr">
        <is>
          <t>50</t>
        </is>
      </c>
      <c r="D37" s="90" t="inlineStr">
        <is>
          <t>🟡 Early stage</t>
        </is>
      </c>
      <c r="E37" s="90" t="inlineStr">
        <is>
          <t>DB advertisers</t>
        </is>
      </c>
      <c r="F37" s="90" t="n"/>
    </row>
    <row r="38" ht="15" customHeight="1" s="70">
      <c r="A38" s="89" t="inlineStr">
        <is>
          <t>Tests totaux</t>
        </is>
      </c>
      <c r="B38" s="89" t="inlineStr">
        <is>
          <t>2 387</t>
        </is>
      </c>
      <c r="C38" s="89" t="inlineStr">
        <is>
          <t>2 500</t>
        </is>
      </c>
      <c r="D38" s="89" t="inlineStr">
        <is>
          <t>🟢 On track</t>
        </is>
      </c>
      <c r="E38" s="89" t="inlineStr">
        <is>
          <t>npm run test:*</t>
        </is>
      </c>
      <c r="F38" s="89" t="n"/>
    </row>
    <row r="39" ht="15" customHeight="1" s="70">
      <c r="A39" s="90" t="inlineStr">
        <is>
          <t>Uptime API</t>
        </is>
      </c>
      <c r="B39" s="90" t="inlineStr">
        <is>
          <t>99.2%</t>
        </is>
      </c>
      <c r="C39" s="90" t="inlineStr">
        <is>
          <t>99.5%</t>
        </is>
      </c>
      <c r="D39" s="90" t="inlineStr">
        <is>
          <t>🟡 Proche</t>
        </is>
      </c>
      <c r="E39" s="90" t="inlineStr">
        <is>
          <t>Grafana</t>
        </is>
      </c>
      <c r="F39" s="90" t="n"/>
    </row>
    <row r="40" ht="21.75" customHeight="1" s="70">
      <c r="A40" s="89" t="inlineStr">
        <is>
          <t>Versions livrées</t>
        </is>
      </c>
      <c r="B40" s="89" t="inlineStr">
        <is>
          <t>30+ (v3.47→v3.60)</t>
        </is>
      </c>
      <c r="C40" s="89" t="inlineStr">
        <is>
          <t>Continu</t>
        </is>
      </c>
      <c r="D40" s="89" t="inlineStr">
        <is>
          <t>🟢 Actif</t>
        </is>
      </c>
      <c r="E40" s="89" t="inlineStr">
        <is>
          <t>Git tags</t>
        </is>
      </c>
      <c r="F40" s="89" t="n"/>
    </row>
    <row r="41" ht="32.25" customHeight="1" s="70">
      <c r="A41" s="90" t="inlineStr">
        <is>
          <t>Features implémentées</t>
        </is>
      </c>
      <c r="B41" s="90" t="inlineStr">
        <is>
          <t>130+</t>
        </is>
      </c>
      <c r="C41" s="90" t="inlineStr">
        <is>
          <t>-</t>
        </is>
      </c>
      <c r="D41" s="90" t="inlineStr">
        <is>
          <t>🟢 Complet</t>
        </is>
      </c>
      <c r="E41" s="90" t="inlineStr">
        <is>
          <t>IMPLEMENTED-BACKLOG</t>
        </is>
      </c>
      <c r="F41" s="90" t="n"/>
    </row>
  </sheetData>
  <mergeCells count="6">
    <mergeCell ref="A14:F14"/>
    <mergeCell ref="A1:F1"/>
    <mergeCell ref="A5:F5"/>
    <mergeCell ref="A34:F34"/>
    <mergeCell ref="A3:F3"/>
    <mergeCell ref="A7:F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5" customWidth="1" style="69" min="1" max="1"/>
    <col width="28" customWidth="1" style="69" min="2" max="2"/>
    <col width="16" customWidth="1" style="69" min="3" max="3"/>
    <col width="22" customWidth="1" style="69" min="4" max="4"/>
    <col width="30" customWidth="1" style="69" min="5" max="5"/>
    <col width="16" customWidth="1" style="69" min="6" max="6"/>
    <col width="48" customWidth="1" style="69" min="7" max="7"/>
  </cols>
  <sheetData>
    <row r="1" ht="30" customHeight="1" s="70">
      <c r="A1" s="85" t="inlineStr">
        <is>
          <t>NEOPRO — Value Streams &amp; Flux de Valeur</t>
        </is>
      </c>
    </row>
    <row r="2" ht="15" customHeight="1" s="70">
      <c r="A2" s="72" t="n"/>
      <c r="B2" s="72" t="n"/>
      <c r="C2" s="72" t="n"/>
      <c r="D2" s="72" t="n"/>
      <c r="E2" s="72" t="n"/>
      <c r="F2" s="72" t="n"/>
      <c r="G2" s="72" t="n"/>
    </row>
    <row r="3" ht="24" customHeight="1" s="70">
      <c r="A3" s="86" t="inlineStr">
        <is>
          <t>Outcome Value Streams (OVS)</t>
        </is>
      </c>
    </row>
    <row r="4" ht="15" customHeight="1" s="70">
      <c r="A4" s="88" t="inlineStr">
        <is>
          <t>ID</t>
        </is>
      </c>
      <c r="B4" s="88" t="inlineStr">
        <is>
          <t>Value Stream</t>
        </is>
      </c>
      <c r="C4" s="88" t="inlineStr">
        <is>
          <t>Trigger</t>
        </is>
      </c>
      <c r="D4" s="88" t="inlineStr">
        <is>
          <t>Value Delivered</t>
        </is>
      </c>
      <c r="E4" s="88" t="inlineStr">
        <is>
          <t>Key Steps</t>
        </is>
      </c>
      <c r="F4" s="88" t="inlineStr">
        <is>
          <t>Lead Time</t>
        </is>
      </c>
      <c r="G4" s="88" t="inlineStr">
        <is>
          <t>Bottleneck</t>
        </is>
      </c>
    </row>
    <row r="5" ht="21.75" customHeight="1" s="70">
      <c r="A5" s="92" t="inlineStr">
        <is>
          <t>OVS-1</t>
        </is>
      </c>
      <c r="B5" s="92" t="inlineStr">
        <is>
          <t>Club to Screen</t>
        </is>
      </c>
      <c r="C5" s="92" t="inlineStr">
        <is>
          <t>Club signe contrat</t>
        </is>
      </c>
      <c r="D5" s="92" t="inlineStr">
        <is>
          <t>Vidéos diffusées sur TV dans le gymnase</t>
        </is>
      </c>
      <c r="E5" s="92" t="inlineStr">
        <is>
          <t>Onboarding → Config → Upload → Deploy → Diffusion</t>
        </is>
      </c>
      <c r="F5" s="92" t="inlineStr">
        <is>
          <t>&lt; 1 jour (target)</t>
        </is>
      </c>
      <c r="G5" s="92" t="inlineStr">
        <is>
          <t>Installation physique Pi</t>
        </is>
      </c>
    </row>
    <row r="6" ht="21.75" customHeight="1" s="70">
      <c r="A6" s="93" t="inlineStr">
        <is>
          <t>OVS-2</t>
        </is>
      </c>
      <c r="B6" s="93" t="inlineStr">
        <is>
          <t>Sponsor to Impression</t>
        </is>
      </c>
      <c r="C6" s="93" t="inlineStr">
        <is>
          <t>Annonceur signe contrat</t>
        </is>
      </c>
      <c r="D6" s="93" t="inlineStr">
        <is>
          <t>Impressions pub mesurées et certifiées</t>
        </is>
      </c>
      <c r="E6" s="93" t="inlineStr">
        <is>
          <t>Signup → Upload pub → Association sites → Diffusion → Report</t>
        </is>
      </c>
      <c r="F6" s="93" t="inlineStr">
        <is>
          <t>&lt; 2 jours</t>
        </is>
      </c>
      <c r="G6" s="93" t="inlineStr">
        <is>
          <t>Association manuelle site-sponsor</t>
        </is>
      </c>
    </row>
    <row r="7" ht="15" customHeight="1" s="70">
      <c r="A7" s="72" t="n"/>
      <c r="B7" s="72" t="n"/>
      <c r="C7" s="72" t="n"/>
      <c r="D7" s="72" t="n"/>
      <c r="E7" s="72" t="n"/>
      <c r="F7" s="72" t="n"/>
      <c r="G7" s="72" t="n"/>
    </row>
    <row r="8" ht="24" customHeight="1" s="70">
      <c r="A8" s="86" t="inlineStr">
        <is>
          <t>OVS-1 — Club to Screen (détail)</t>
        </is>
      </c>
    </row>
    <row r="9" ht="15" customHeight="1" s="70">
      <c r="A9" s="88" t="inlineStr">
        <is>
          <t>#</t>
        </is>
      </c>
      <c r="B9" s="88" t="inlineStr">
        <is>
          <t>Step</t>
        </is>
      </c>
      <c r="C9" s="88" t="inlineStr">
        <is>
          <t>Outil</t>
        </is>
      </c>
      <c r="D9" s="88" t="inlineStr">
        <is>
          <t>Owner</t>
        </is>
      </c>
      <c r="E9" s="88" t="inlineStr">
        <is>
          <t>Durée</t>
        </is>
      </c>
      <c r="F9" s="88" t="inlineStr">
        <is>
          <t>Input</t>
        </is>
      </c>
      <c r="G9" s="88" t="inlineStr">
        <is>
          <t>Output</t>
        </is>
      </c>
    </row>
    <row r="10" ht="15" customHeight="1" s="70">
      <c r="A10" s="89" t="inlineStr">
        <is>
          <t>1</t>
        </is>
      </c>
      <c r="B10" s="89" t="inlineStr">
        <is>
          <t>Vente &amp; signature</t>
        </is>
      </c>
      <c r="C10" s="89" t="inlineStr">
        <is>
          <t>CRM (externe)</t>
        </is>
      </c>
      <c r="D10" s="89" t="inlineStr">
        <is>
          <t>Commercial</t>
        </is>
      </c>
      <c r="E10" s="89" t="inlineStr">
        <is>
          <t>1-2 semaines</t>
        </is>
      </c>
      <c r="F10" s="89" t="inlineStr">
        <is>
          <t>Lead club</t>
        </is>
      </c>
      <c r="G10" s="89" t="inlineStr">
        <is>
          <t>Contrat signé + abonnement</t>
        </is>
      </c>
    </row>
    <row r="11" ht="21.75" customHeight="1" s="70">
      <c r="A11" s="90" t="inlineStr">
        <is>
          <t>2</t>
        </is>
      </c>
      <c r="B11" s="90" t="inlineStr">
        <is>
          <t>Installation Pi dans le club</t>
        </is>
      </c>
      <c r="C11" s="90" t="inlineStr">
        <is>
          <t>Toolbox Déploiement</t>
        </is>
      </c>
      <c r="D11" s="90" t="inlineStr">
        <is>
          <t>Technicien</t>
        </is>
      </c>
      <c r="E11" s="90" t="inlineStr">
        <is>
          <t>1-2 heures</t>
        </is>
      </c>
      <c r="F11" s="90" t="inlineStr">
        <is>
          <t>Pi + TV + SD card</t>
        </is>
      </c>
      <c r="G11" s="90" t="inlineStr">
        <is>
          <t>Pi connecté au Dashboard</t>
        </is>
      </c>
    </row>
    <row r="12" ht="21.75" customHeight="1" s="70">
      <c r="A12" s="89" t="inlineStr">
        <is>
          <t>3</t>
        </is>
      </c>
      <c r="B12" s="89" t="inlineStr">
        <is>
          <t>Configuration club</t>
        </is>
      </c>
      <c r="C12" s="89" t="inlineStr">
        <is>
          <t>Dashboard Admin</t>
        </is>
      </c>
      <c r="D12" s="89" t="inlineStr">
        <is>
          <t>Opérateur</t>
        </is>
      </c>
      <c r="E12" s="89" t="inlineStr">
        <is>
          <t>15 min</t>
        </is>
      </c>
      <c r="F12" s="89" t="inlineStr">
        <is>
          <t>Logo, catégories, sponsors</t>
        </is>
      </c>
      <c r="G12" s="89" t="inlineStr">
        <is>
          <t>Config déployée sur Pi</t>
        </is>
      </c>
    </row>
    <row r="13" ht="15" customHeight="1" s="70">
      <c r="A13" s="90" t="inlineStr">
        <is>
          <t>4</t>
        </is>
      </c>
      <c r="B13" s="90" t="inlineStr">
        <is>
          <t>Upload vidéos contenu</t>
        </is>
      </c>
      <c r="C13" s="90" t="inlineStr">
        <is>
          <t>Dashboard Admin</t>
        </is>
      </c>
      <c r="D13" s="90" t="inlineStr">
        <is>
          <t>Opérateur</t>
        </is>
      </c>
      <c r="E13" s="90" t="inlineStr">
        <is>
          <t>10 min</t>
        </is>
      </c>
      <c r="F13" s="90" t="inlineStr">
        <is>
          <t>Fichiers vidéo</t>
        </is>
      </c>
      <c r="G13" s="90" t="inlineStr">
        <is>
          <t>Vidéos sur FTP + checksum</t>
        </is>
      </c>
    </row>
    <row r="14" ht="21.75" customHeight="1" s="70">
      <c r="A14" s="89" t="inlineStr">
        <is>
          <t>5</t>
        </is>
      </c>
      <c r="B14" s="89" t="inlineStr">
        <is>
          <t>Déploiement vers Pi</t>
        </is>
      </c>
      <c r="C14" s="89" t="inlineStr">
        <is>
          <t>Central Server → Sync Agent</t>
        </is>
      </c>
      <c r="D14" s="89" t="inlineStr">
        <is>
          <t>Automatisé</t>
        </is>
      </c>
      <c r="E14" s="89" t="inlineStr">
        <is>
          <t>2-5 min</t>
        </is>
      </c>
      <c r="F14" s="89" t="inlineStr">
        <is>
          <t>Commande deploy</t>
        </is>
      </c>
      <c r="G14" s="89" t="inlineStr">
        <is>
          <t>Vidéos sur disque Pi</t>
        </is>
      </c>
    </row>
    <row r="15" ht="15" customHeight="1" s="70">
      <c r="A15" s="90" t="inlineStr">
        <is>
          <t>6</t>
        </is>
      </c>
      <c r="B15" s="90" t="inlineStr">
        <is>
          <t>Diffusion sur TV</t>
        </is>
      </c>
      <c r="C15" s="90" t="inlineStr">
        <is>
          <t>TV Player</t>
        </is>
      </c>
      <c r="D15" s="90" t="inlineStr">
        <is>
          <t>Automatisé</t>
        </is>
      </c>
      <c r="E15" s="90" t="inlineStr">
        <is>
          <t>Immédiat</t>
        </is>
      </c>
      <c r="F15" s="90" t="inlineStr">
        <is>
          <t>Config + vidéos</t>
        </is>
      </c>
      <c r="G15" s="90" t="inlineStr">
        <is>
          <t>Boucle vidéo diffusée</t>
        </is>
      </c>
    </row>
    <row r="16" ht="15" customHeight="1" s="70">
      <c r="A16" s="89" t="inlineStr">
        <is>
          <t>7</t>
        </is>
      </c>
      <c r="B16" s="89" t="inlineStr">
        <is>
          <t>Match day (bénévole)</t>
        </is>
      </c>
      <c r="C16" s="89" t="inlineStr">
        <is>
          <t>Télécommande</t>
        </is>
      </c>
      <c r="D16" s="89" t="inlineStr">
        <is>
          <t>Staff club</t>
        </is>
      </c>
      <c r="E16" s="89" t="inlineStr">
        <is>
          <t>Durée match</t>
        </is>
      </c>
      <c r="F16" s="89" t="inlineStr">
        <is>
          <t>QR code / URL</t>
        </is>
      </c>
      <c r="G16" s="89" t="inlineStr">
        <is>
          <t>Score live + phases + recording</t>
        </is>
      </c>
    </row>
    <row r="17" ht="15" customHeight="1" s="70">
      <c r="A17" s="90" t="inlineStr">
        <is>
          <t>8</t>
        </is>
      </c>
      <c r="B17" s="90" t="inlineStr">
        <is>
          <t>Analytics &amp; rapports</t>
        </is>
      </c>
      <c r="C17" s="90" t="inlineStr">
        <is>
          <t>Dashboard + PDF</t>
        </is>
      </c>
      <c r="D17" s="90" t="inlineStr">
        <is>
          <t>Automatisé</t>
        </is>
      </c>
      <c r="E17" s="90" t="inlineStr">
        <is>
          <t>Quotidien</t>
        </is>
      </c>
      <c r="F17" s="90" t="inlineStr">
        <is>
          <t>Impressions brutes</t>
        </is>
      </c>
      <c r="G17" s="90" t="inlineStr">
        <is>
          <t>Stats club + sponsor</t>
        </is>
      </c>
    </row>
    <row r="18" ht="15" customHeight="1" s="70">
      <c r="A18" s="72" t="n"/>
      <c r="B18" s="72" t="n"/>
      <c r="C18" s="72" t="n"/>
      <c r="D18" s="72" t="n"/>
      <c r="E18" s="72" t="n"/>
      <c r="F18" s="72" t="n"/>
      <c r="G18" s="72" t="n"/>
    </row>
    <row r="19" ht="24" customHeight="1" s="70">
      <c r="A19" s="86" t="inlineStr">
        <is>
          <t>OVS-2 — Sponsor to Impression (détail)</t>
        </is>
      </c>
    </row>
    <row r="20" ht="15" customHeight="1" s="70">
      <c r="A20" s="88" t="inlineStr">
        <is>
          <t>#</t>
        </is>
      </c>
      <c r="B20" s="88" t="inlineStr">
        <is>
          <t>Step</t>
        </is>
      </c>
      <c r="C20" s="88" t="inlineStr">
        <is>
          <t>Outil</t>
        </is>
      </c>
      <c r="D20" s="88" t="inlineStr">
        <is>
          <t>Owner</t>
        </is>
      </c>
      <c r="E20" s="88" t="inlineStr">
        <is>
          <t>Durée</t>
        </is>
      </c>
      <c r="F20" s="88" t="inlineStr">
        <is>
          <t>Input</t>
        </is>
      </c>
      <c r="G20" s="88" t="inlineStr">
        <is>
          <t>Output</t>
        </is>
      </c>
    </row>
    <row r="21" ht="21.75" customHeight="1" s="70">
      <c r="A21" s="89" t="inlineStr">
        <is>
          <t>1</t>
        </is>
      </c>
      <c r="B21" s="89" t="inlineStr">
        <is>
          <t>Inscription annonceur</t>
        </is>
      </c>
      <c r="C21" s="89" t="inlineStr">
        <is>
          <t>Portail Annonceur / Magic Link</t>
        </is>
      </c>
      <c r="D21" s="89" t="inlineStr">
        <is>
          <t>Annonceur</t>
        </is>
      </c>
      <c r="E21" s="89" t="inlineStr">
        <is>
          <t>5 min</t>
        </is>
      </c>
      <c r="F21" s="89" t="inlineStr">
        <is>
          <t>Email + vidéo pub</t>
        </is>
      </c>
      <c r="G21" s="89" t="inlineStr">
        <is>
          <t>Compte créé + vidéo uploadée</t>
        </is>
      </c>
    </row>
    <row r="22" ht="21.75" customHeight="1" s="70">
      <c r="A22" s="90" t="inlineStr">
        <is>
          <t>2</t>
        </is>
      </c>
      <c r="B22" s="90" t="inlineStr">
        <is>
          <t>Association site-sponsor</t>
        </is>
      </c>
      <c r="C22" s="90" t="inlineStr">
        <is>
          <t>Dashboard Admin</t>
        </is>
      </c>
      <c r="D22" s="90" t="inlineStr">
        <is>
          <t>Opérateur</t>
        </is>
      </c>
      <c r="E22" s="90" t="inlineStr">
        <is>
          <t>2 min</t>
        </is>
      </c>
      <c r="F22" s="90" t="inlineStr">
        <is>
          <t>Sponsor + sites cibles</t>
        </is>
      </c>
      <c r="G22" s="90" t="inlineStr">
        <is>
          <t>Mapping sponsor→sites</t>
        </is>
      </c>
    </row>
    <row r="23" ht="21.75" customHeight="1" s="70">
      <c r="A23" s="89" t="inlineStr">
        <is>
          <t>3</t>
        </is>
      </c>
      <c r="B23" s="89" t="inlineStr">
        <is>
          <t>Sync sponsors vers Pi</t>
        </is>
      </c>
      <c r="C23" s="89" t="inlineStr">
        <is>
          <t>Central Server → Sync Agent</t>
        </is>
      </c>
      <c r="D23" s="89" t="inlineStr">
        <is>
          <t>Automatisé</t>
        </is>
      </c>
      <c r="E23" s="89" t="inlineStr">
        <is>
          <t>2-5 min</t>
        </is>
      </c>
      <c r="F23" s="89" t="inlineStr">
        <is>
          <t>Config updated</t>
        </is>
      </c>
      <c r="G23" s="89" t="inlineStr">
        <is>
          <t>Sponsors sur disque Pi</t>
        </is>
      </c>
    </row>
    <row r="24" ht="21.75" customHeight="1" s="70">
      <c r="A24" s="90" t="inlineStr">
        <is>
          <t>4</t>
        </is>
      </c>
      <c r="B24" s="90" t="inlineStr">
        <is>
          <t>Diffusion pub sur TV</t>
        </is>
      </c>
      <c r="C24" s="90" t="inlineStr">
        <is>
          <t>TV Player</t>
        </is>
      </c>
      <c r="D24" s="90" t="inlineStr">
        <is>
          <t>Automatisé</t>
        </is>
      </c>
      <c r="E24" s="90" t="inlineStr">
        <is>
          <t>Immédiat</t>
        </is>
      </c>
      <c r="F24" s="90" t="inlineStr">
        <is>
          <t>Boucle vidéo avec pubs</t>
        </is>
      </c>
      <c r="G24" s="90" t="inlineStr">
        <is>
          <t>Impressions trackées</t>
        </is>
      </c>
    </row>
    <row r="25" ht="21.75" customHeight="1" s="70">
      <c r="A25" s="89" t="inlineStr">
        <is>
          <t>5</t>
        </is>
      </c>
      <c r="B25" s="89" t="inlineStr">
        <is>
          <t>Tracking impressions</t>
        </is>
      </c>
      <c r="C25" s="89" t="inlineStr">
        <is>
          <t>TV Player → Sync Agent → API</t>
        </is>
      </c>
      <c r="D25" s="89" t="inlineStr">
        <is>
          <t>Automatisé</t>
        </is>
      </c>
      <c r="E25" s="89" t="inlineStr">
        <is>
          <t>Batch quotidien</t>
        </is>
      </c>
      <c r="F25" s="89" t="inlineStr">
        <is>
          <t>Buffer local Pi</t>
        </is>
      </c>
      <c r="G25" s="89" t="inlineStr">
        <is>
          <t>Impressions en DB</t>
        </is>
      </c>
    </row>
    <row r="26" ht="21.75" customHeight="1" s="70">
      <c r="A26" s="90" t="inlineStr">
        <is>
          <t>6</t>
        </is>
      </c>
      <c r="B26" s="90" t="inlineStr">
        <is>
          <t>Proof of broadcast</t>
        </is>
      </c>
      <c r="C26" s="90" t="inlineStr">
        <is>
          <t>Central Server</t>
        </is>
      </c>
      <c r="D26" s="90" t="inlineStr">
        <is>
          <t>Automatisé</t>
        </is>
      </c>
      <c r="E26" s="90" t="inlineStr">
        <is>
          <t>Temps réel</t>
        </is>
      </c>
      <c r="F26" s="90" t="inlineStr">
        <is>
          <t>Screenshot + timestamp</t>
        </is>
      </c>
      <c r="G26" s="90" t="inlineStr">
        <is>
          <t>Preuve certifiée SHA-256</t>
        </is>
      </c>
    </row>
    <row r="27" ht="21.75" customHeight="1" s="70">
      <c r="A27" s="89" t="inlineStr">
        <is>
          <t>7</t>
        </is>
      </c>
      <c r="B27" s="89" t="inlineStr">
        <is>
          <t>Rapport annonceur</t>
        </is>
      </c>
      <c r="C27" s="89" t="inlineStr">
        <is>
          <t>Portail Annonceur / PDF</t>
        </is>
      </c>
      <c r="D27" s="89" t="inlineStr">
        <is>
          <t>Annonceur</t>
        </is>
      </c>
      <c r="E27" s="89" t="inlineStr">
        <is>
          <t>Self-service</t>
        </is>
      </c>
      <c r="F27" s="89" t="inlineStr">
        <is>
          <t>Stats agrégées</t>
        </is>
      </c>
      <c r="G27" s="89" t="inlineStr">
        <is>
          <t>PDF/Excel export</t>
        </is>
      </c>
    </row>
    <row r="28" ht="15" customHeight="1" s="70">
      <c r="A28" s="72" t="n"/>
      <c r="B28" s="72" t="n"/>
      <c r="C28" s="72" t="n"/>
      <c r="D28" s="72" t="n"/>
      <c r="E28" s="72" t="n"/>
      <c r="F28" s="72" t="n"/>
      <c r="G28" s="72" t="n"/>
    </row>
    <row r="29" ht="24" customHeight="1" s="70">
      <c r="A29" s="86" t="inlineStr">
        <is>
          <t>DVS-1 — Neopro Platform (Development Value Stream)</t>
        </is>
      </c>
    </row>
    <row r="30" ht="15" customHeight="1" s="70">
      <c r="A30" s="88" t="inlineStr">
        <is>
          <t>#</t>
        </is>
      </c>
      <c r="B30" s="88" t="inlineStr">
        <is>
          <t>Step</t>
        </is>
      </c>
      <c r="C30" s="88" t="inlineStr">
        <is>
          <t>Owner</t>
        </is>
      </c>
      <c r="D30" s="88" t="inlineStr">
        <is>
          <t>Outils</t>
        </is>
      </c>
      <c r="E30" s="88" t="inlineStr">
        <is>
          <t>Métriques</t>
        </is>
      </c>
      <c r="F30" s="88" t="inlineStr">
        <is>
          <t>Cadence</t>
        </is>
      </c>
      <c r="G30" s="88" t="n"/>
    </row>
    <row r="31" ht="15" customHeight="1" s="70">
      <c r="A31" s="89" t="inlineStr">
        <is>
          <t>1</t>
        </is>
      </c>
      <c r="B31" s="89" t="inlineStr">
        <is>
          <t>Product Discovery &amp; Backlog</t>
        </is>
      </c>
      <c r="C31" s="89" t="inlineStr">
        <is>
          <t>PO (Gwenvael)</t>
        </is>
      </c>
      <c r="D31" s="89" t="inlineStr">
        <is>
          <t>SAFe Framework, Notion</t>
        </is>
      </c>
      <c r="E31" s="89" t="inlineStr">
        <is>
          <t>WSJF score, backlog depth</t>
        </is>
      </c>
      <c r="F31" s="89" t="inlineStr">
        <is>
          <t>Continu</t>
        </is>
      </c>
      <c r="G31" s="89" t="n"/>
    </row>
    <row r="32" ht="15" customHeight="1" s="70">
      <c r="A32" s="90" t="inlineStr">
        <is>
          <t>2</t>
        </is>
      </c>
      <c r="B32" s="90" t="inlineStr">
        <is>
          <t>Architecture &amp; Design</t>
        </is>
      </c>
      <c r="C32" s="90" t="inlineStr">
        <is>
          <t>Tech Lead</t>
        </is>
      </c>
      <c r="D32" s="90" t="inlineStr">
        <is>
          <t>ADR, TypeScript strict</t>
        </is>
      </c>
      <c r="E32" s="90" t="inlineStr">
        <is>
          <t>Design reviews passés</t>
        </is>
      </c>
      <c r="F32" s="90" t="inlineStr">
        <is>
          <t>Par feature</t>
        </is>
      </c>
      <c r="G32" s="90" t="n"/>
    </row>
    <row r="33" ht="21.75" customHeight="1" s="70">
      <c r="A33" s="89" t="inlineStr">
        <is>
          <t>3</t>
        </is>
      </c>
      <c r="B33" s="89" t="inlineStr">
        <is>
          <t>Development (Sprint)</t>
        </is>
      </c>
      <c r="C33" s="89" t="inlineStr">
        <is>
          <t>Engineering</t>
        </is>
      </c>
      <c r="D33" s="89" t="inlineStr">
        <is>
          <t>Git, ESLint, Repository Pattern</t>
        </is>
      </c>
      <c r="E33" s="89" t="inlineStr">
        <is>
          <t>Vélocité SP/sprint, WIP</t>
        </is>
      </c>
      <c r="F33" s="89" t="inlineStr">
        <is>
          <t>Sprint 2 semaines</t>
        </is>
      </c>
      <c r="G33" s="89" t="n"/>
    </row>
    <row r="34" ht="21.75" customHeight="1" s="70">
      <c r="A34" s="90" t="inlineStr">
        <is>
          <t>4</t>
        </is>
      </c>
      <c r="B34" s="90" t="inlineStr">
        <is>
          <t>Testing &amp; QA</t>
        </is>
      </c>
      <c r="C34" s="90" t="inlineStr">
        <is>
          <t>Engineering</t>
        </is>
      </c>
      <c r="D34" s="90" t="inlineStr">
        <is>
          <t>Jest, Karma, Playwright, Smoke</t>
        </is>
      </c>
      <c r="E34" s="90" t="inlineStr">
        <is>
          <t>2 387 tests, coverage</t>
        </is>
      </c>
      <c r="F34" s="90" t="inlineStr">
        <is>
          <t>CI automatique</t>
        </is>
      </c>
      <c r="G34" s="90" t="n"/>
    </row>
    <row r="35" ht="21.75" customHeight="1" s="70">
      <c r="A35" s="89" t="inlineStr">
        <is>
          <t>5</t>
        </is>
      </c>
      <c r="B35" s="89" t="inlineStr">
        <is>
          <t>Release &amp; OTA</t>
        </is>
      </c>
      <c r="C35" s="89" t="inlineStr">
        <is>
          <t>DevOps</t>
        </is>
      </c>
      <c r="D35" s="89" t="inlineStr">
        <is>
          <t>Git tags, Railway, FTP, Canary</t>
        </is>
      </c>
      <c r="E35" s="89" t="inlineStr">
        <is>
          <t>OTA success rate, rollback</t>
        </is>
      </c>
      <c r="F35" s="89" t="inlineStr">
        <is>
          <t>~2 releases/semaine</t>
        </is>
      </c>
      <c r="G35" s="89" t="n"/>
    </row>
    <row r="36" ht="15" customHeight="1" s="70">
      <c r="A36" s="90" t="inlineStr">
        <is>
          <t>6</t>
        </is>
      </c>
      <c r="B36" s="90" t="inlineStr">
        <is>
          <t>Monitoring &amp; Feedback</t>
        </is>
      </c>
      <c r="C36" s="90" t="inlineStr">
        <is>
          <t>Support</t>
        </is>
      </c>
      <c r="D36" s="90" t="inlineStr">
        <is>
          <t>Grafana, Prometheus, Slack</t>
        </is>
      </c>
      <c r="E36" s="90" t="inlineStr">
        <is>
          <t>Uptime, MTTR, NPS</t>
        </is>
      </c>
      <c r="F36" s="90" t="inlineStr">
        <is>
          <t>Continu</t>
        </is>
      </c>
      <c r="G36" s="90" t="n"/>
    </row>
    <row r="37" ht="15" customHeight="1" s="70">
      <c r="A37" s="72" t="n"/>
      <c r="B37" s="72" t="n"/>
      <c r="C37" s="72" t="n"/>
      <c r="D37" s="72" t="n"/>
      <c r="E37" s="72" t="n"/>
      <c r="F37" s="72" t="n"/>
      <c r="G37" s="72" t="n"/>
    </row>
    <row r="38" ht="24" customHeight="1" s="70">
      <c r="A38" s="86" t="inlineStr">
        <is>
          <t>Cartographie 12 Outils Neopro</t>
        </is>
      </c>
    </row>
    <row r="39" ht="15" customHeight="1" s="70">
      <c r="A39" s="88" t="inlineStr">
        <is>
          <t>#</t>
        </is>
      </c>
      <c r="B39" s="88" t="inlineStr">
        <is>
          <t>Outil</t>
        </is>
      </c>
      <c r="C39" s="88" t="inlineStr">
        <is>
          <t>Type</t>
        </is>
      </c>
      <c r="D39" s="88" t="inlineStr">
        <is>
          <t>Public</t>
        </is>
      </c>
      <c r="E39" s="88" t="inlineStr">
        <is>
          <t>Protocole</t>
        </is>
      </c>
      <c r="F39" s="88" t="inlineStr">
        <is>
          <t>VS lié</t>
        </is>
      </c>
      <c r="G39" s="88" t="inlineStr">
        <is>
          <t>Features clés</t>
        </is>
      </c>
    </row>
    <row r="40" ht="15" customHeight="1" s="70">
      <c r="A40" s="89" t="inlineStr">
        <is>
          <t>1</t>
        </is>
      </c>
      <c r="B40" s="89" t="inlineStr">
        <is>
          <t>Dashboard Admin</t>
        </is>
      </c>
      <c r="C40" s="89" t="inlineStr">
        <is>
          <t>Produit cloud</t>
        </is>
      </c>
      <c r="D40" s="89" t="inlineStr">
        <is>
          <t>Admin, Opérateurs</t>
        </is>
      </c>
      <c r="E40" s="89" t="inlineStr">
        <is>
          <t>HTTP + WebSocket</t>
        </is>
      </c>
      <c r="F40" s="89" t="inlineStr">
        <is>
          <t>OVS-1, OVS-2</t>
        </is>
      </c>
      <c r="G40" s="89" t="inlineStr">
        <is>
          <t>Fleet mgmt, deploy, analytics, alerting, OTA</t>
        </is>
      </c>
    </row>
    <row r="41" ht="15" customHeight="1" s="70">
      <c r="A41" s="90" t="inlineStr">
        <is>
          <t>2</t>
        </is>
      </c>
      <c r="B41" s="90" t="inlineStr">
        <is>
          <t>Portail Annonceur</t>
        </is>
      </c>
      <c r="C41" s="90" t="inlineStr">
        <is>
          <t>Produit cloud</t>
        </is>
      </c>
      <c r="D41" s="90" t="inlineStr">
        <is>
          <t>Annonceurs</t>
        </is>
      </c>
      <c r="E41" s="90" t="inlineStr">
        <is>
          <t>HTTP + JWT</t>
        </is>
      </c>
      <c r="F41" s="90" t="inlineStr">
        <is>
          <t>OVS-2</t>
        </is>
      </c>
      <c r="G41" s="90" t="inlineStr">
        <is>
          <t>Upload pub, stats impressions, export PDF</t>
        </is>
      </c>
    </row>
    <row r="42" ht="15" customHeight="1" s="70">
      <c r="A42" s="89" t="inlineStr">
        <is>
          <t>3</t>
        </is>
      </c>
      <c r="B42" s="89" t="inlineStr">
        <is>
          <t>Portail Agence</t>
        </is>
      </c>
      <c r="C42" s="89" t="inlineStr">
        <is>
          <t>Produit cloud</t>
        </is>
      </c>
      <c r="D42" s="89" t="inlineStr">
        <is>
          <t>Agences pub</t>
        </is>
      </c>
      <c r="E42" s="89" t="inlineStr">
        <is>
          <t>HTTP + JWT</t>
        </is>
      </c>
      <c r="F42" s="89" t="inlineStr">
        <is>
          <t>OVS-2</t>
        </is>
      </c>
      <c r="G42" s="89" t="inlineStr">
        <is>
          <t>Multi-annonceurs, stats agrégées</t>
        </is>
      </c>
    </row>
    <row r="43" ht="15" customHeight="1" s="70">
      <c r="A43" s="90" t="inlineStr">
        <is>
          <t>4</t>
        </is>
      </c>
      <c r="B43" s="90" t="inlineStr">
        <is>
          <t>Télécommande</t>
        </is>
      </c>
      <c r="C43" s="90" t="inlineStr">
        <is>
          <t>Produit cloud+edge</t>
        </is>
      </c>
      <c r="D43" s="90" t="inlineStr">
        <is>
          <t>Staff club</t>
        </is>
      </c>
      <c r="E43" s="90" t="inlineStr">
        <is>
          <t>Socket.IO</t>
        </is>
      </c>
      <c r="F43" s="90" t="inlineStr">
        <is>
          <t>OVS-1</t>
        </is>
      </c>
      <c r="G43" s="90" t="inlineStr">
        <is>
          <t>Score, phases, timer, recording, vidéos</t>
        </is>
      </c>
    </row>
    <row r="44" ht="15" customHeight="1" s="70">
      <c r="A44" s="89" t="inlineStr">
        <is>
          <t>5</t>
        </is>
      </c>
      <c r="B44" s="89" t="inlineStr">
        <is>
          <t>TV Player</t>
        </is>
      </c>
      <c r="C44" s="89" t="inlineStr">
        <is>
          <t>Produit edge</t>
        </is>
      </c>
      <c r="D44" s="89" t="inlineStr">
        <is>
          <t>Spectateurs</t>
        </is>
      </c>
      <c r="E44" s="89" t="inlineStr">
        <is>
          <t>Socket.IO local</t>
        </is>
      </c>
      <c r="F44" s="89" t="inlineStr">
        <is>
          <t>OVS-1, OVS-2</t>
        </is>
      </c>
      <c r="G44" s="89" t="inlineStr">
        <is>
          <t>Double-buffer, overlay 6 sports, watermark</t>
        </is>
      </c>
    </row>
    <row r="45" ht="15" customHeight="1" s="70">
      <c r="A45" s="90" t="inlineStr">
        <is>
          <t>6</t>
        </is>
      </c>
      <c r="B45" s="90" t="inlineStr">
        <is>
          <t>Admin Panel Pi</t>
        </is>
      </c>
      <c r="C45" s="90" t="inlineStr">
        <is>
          <t>Produit edge</t>
        </is>
      </c>
      <c r="D45" s="90" t="inlineStr">
        <is>
          <t>Staff + Tech</t>
        </is>
      </c>
      <c r="E45" s="90" t="inlineStr">
        <is>
          <t>HTTP local</t>
        </is>
      </c>
      <c r="F45" s="90" t="inlineStr">
        <is>
          <t>OVS-1</t>
        </is>
      </c>
      <c r="G45" s="90" t="inlineStr">
        <is>
          <t>Club/Tech mode, upload local, debug</t>
        </is>
      </c>
    </row>
    <row r="46" ht="15" customHeight="1" s="70">
      <c r="A46" s="89" t="inlineStr">
        <is>
          <t>7</t>
        </is>
      </c>
      <c r="B46" s="89" t="inlineStr">
        <is>
          <t>Central Server API</t>
        </is>
      </c>
      <c r="C46" s="89" t="inlineStr">
        <is>
          <t>Infra cloud</t>
        </is>
      </c>
      <c r="D46" s="89" t="inlineStr">
        <is>
          <t>Machines</t>
        </is>
      </c>
      <c r="E46" s="89" t="inlineStr">
        <is>
          <t>REST + WebSocket</t>
        </is>
      </c>
      <c r="F46" s="89" t="inlineStr">
        <is>
          <t>DVS-1</t>
        </is>
      </c>
      <c r="G46" s="89" t="inlineStr">
        <is>
          <t>21 repos, 9 handlers, rate limiting</t>
        </is>
      </c>
    </row>
    <row r="47" ht="15" customHeight="1" s="70">
      <c r="A47" s="90" t="inlineStr">
        <is>
          <t>8</t>
        </is>
      </c>
      <c r="B47" s="90" t="inlineStr">
        <is>
          <t>Sync Agent</t>
        </is>
      </c>
      <c r="C47" s="90" t="inlineStr">
        <is>
          <t>Infra edge</t>
        </is>
      </c>
      <c r="D47" s="90" t="inlineStr">
        <is>
          <t>Système</t>
        </is>
      </c>
      <c r="E47" s="90" t="inlineStr">
        <is>
          <t>Socket.IO</t>
        </is>
      </c>
      <c r="F47" s="90" t="inlineStr">
        <is>
          <t>OVS-1, OVS-2</t>
        </is>
      </c>
      <c r="G47" s="90" t="inlineStr">
        <is>
          <t>Config sync, video download, analytics batch</t>
        </is>
      </c>
    </row>
    <row r="48" ht="15" customHeight="1" s="70">
      <c r="A48" s="89" t="inlineStr">
        <is>
          <t>9</t>
        </is>
      </c>
      <c r="B48" s="89" t="inlineStr">
        <is>
          <t>Pi Server Socket.IO</t>
        </is>
      </c>
      <c r="C48" s="89" t="inlineStr">
        <is>
          <t>Infra edge</t>
        </is>
      </c>
      <c r="D48" s="89" t="inlineStr">
        <is>
          <t>Télécommande, TV</t>
        </is>
      </c>
      <c r="E48" s="89" t="inlineStr">
        <is>
          <t>Socket.IO local</t>
        </is>
      </c>
      <c r="F48" s="89" t="inlineStr">
        <is>
          <t>OVS-1</t>
        </is>
      </c>
      <c r="G48" s="89" t="inlineStr">
        <is>
          <t>18 événements relay, score, phases</t>
        </is>
      </c>
    </row>
    <row r="49" ht="15" customHeight="1" s="70">
      <c r="A49" s="90" t="inlineStr">
        <is>
          <t>10</t>
        </is>
      </c>
      <c r="B49" s="90" t="inlineStr">
        <is>
          <t>Watchdogs (4)</t>
        </is>
      </c>
      <c r="C49" s="90" t="inlineStr">
        <is>
          <t>Infra edge</t>
        </is>
      </c>
      <c r="D49" s="90" t="inlineStr">
        <is>
          <t>Système</t>
        </is>
      </c>
      <c r="E49" s="90" t="inlineStr">
        <is>
          <t>Bash + systemd</t>
        </is>
      </c>
      <c r="F49" s="90" t="inlineStr">
        <is>
          <t>DVS-1</t>
        </is>
      </c>
      <c r="G49" s="90" t="inlineStr">
        <is>
          <t>Kiosk, sync-agent, network, hotspot</t>
        </is>
      </c>
    </row>
    <row r="50" ht="15" customHeight="1" s="70">
      <c r="A50" s="89" t="inlineStr">
        <is>
          <t>11</t>
        </is>
      </c>
      <c r="B50" s="89" t="inlineStr">
        <is>
          <t>Monitoring</t>
        </is>
      </c>
      <c r="C50" s="89" t="inlineStr">
        <is>
          <t>Ops</t>
        </is>
      </c>
      <c r="D50" s="89" t="inlineStr">
        <is>
          <t>Support</t>
        </is>
      </c>
      <c r="E50" s="89" t="inlineStr">
        <is>
          <t>Prometheus + Grafana</t>
        </is>
      </c>
      <c r="F50" s="89" t="inlineStr">
        <is>
          <t>DVS-1</t>
        </is>
      </c>
      <c r="G50" s="89" t="inlineStr">
        <is>
          <t>30+ métriques, 18 seuils, 3 dashboards</t>
        </is>
      </c>
    </row>
    <row r="51" ht="15" customHeight="1" s="70">
      <c r="A51" s="90" t="inlineStr">
        <is>
          <t>12</t>
        </is>
      </c>
      <c r="B51" s="90" t="inlineStr">
        <is>
          <t>Toolbox Déploiement</t>
        </is>
      </c>
      <c r="C51" s="90" t="inlineStr">
        <is>
          <t>Ops</t>
        </is>
      </c>
      <c r="D51" s="90" t="inlineStr">
        <is>
          <t>Techniciens</t>
        </is>
      </c>
      <c r="E51" s="90" t="inlineStr">
        <is>
          <t>Bash + SSH</t>
        </is>
      </c>
      <c r="F51" s="90" t="inlineStr">
        <is>
          <t>OVS-1</t>
        </is>
      </c>
      <c r="G51" s="90" t="inlineStr">
        <is>
          <t>Golden image, setup, diagnostic, backup</t>
        </is>
      </c>
    </row>
  </sheetData>
  <mergeCells count="6">
    <mergeCell ref="A1:G1"/>
    <mergeCell ref="A8:G8"/>
    <mergeCell ref="A3:G3"/>
    <mergeCell ref="A38:G38"/>
    <mergeCell ref="A29:G29"/>
    <mergeCell ref="A19:G1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5" customWidth="1" style="69" min="1" max="9"/>
  </cols>
  <sheetData>
    <row r="1" ht="15" customHeight="1" s="70">
      <c r="A1" s="78" t="inlineStr">
        <is>
          <t>← Dashboard | ← Dashboard</t>
        </is>
      </c>
      <c r="I1" s="72" t="n"/>
    </row>
    <row r="2" ht="15" customHeight="1" s="70">
      <c r="A2" s="72" t="n"/>
      <c r="B2" s="72" t="n"/>
      <c r="C2" s="72" t="n"/>
      <c r="D2" s="72" t="n"/>
      <c r="E2" s="72" t="n"/>
      <c r="F2" s="72" t="n"/>
      <c r="G2" s="72" t="n"/>
      <c r="H2" s="72" t="n"/>
      <c r="I2" s="72" t="n"/>
    </row>
    <row r="3" ht="15" customHeight="1" s="70">
      <c r="A3" s="80" t="inlineStr">
        <is>
          <t>Epic ID</t>
        </is>
      </c>
      <c r="B3" s="80" t="inlineStr">
        <is>
          <t>Name</t>
        </is>
      </c>
      <c r="C3" s="80" t="inlineStr">
        <is>
          <t>VS</t>
        </is>
      </c>
      <c r="D3" s="80" t="inlineStr">
        <is>
          <t>Theme</t>
        </is>
      </c>
      <c r="E3" s="80" t="inlineStr">
        <is>
          <t>WSJF</t>
        </is>
      </c>
      <c r="F3" s="80" t="inlineStr">
        <is>
          <t>PI</t>
        </is>
      </c>
      <c r="G3" s="80" t="inlineStr">
        <is>
          <t>Status</t>
        </is>
      </c>
      <c r="H3" s="80" t="inlineStr">
        <is>
          <t>Cost (SP)</t>
        </is>
      </c>
      <c r="I3" s="80" t="inlineStr">
        <is>
          <t>Benefit (€)</t>
        </is>
      </c>
      <c r="J3" s="94" t="inlineStr">
        <is>
          <t>Business Value</t>
        </is>
      </c>
      <c r="K3" s="94" t="inlineStr">
        <is>
          <t>Time Criticality</t>
        </is>
      </c>
      <c r="L3" s="94" t="inlineStr">
        <is>
          <t>Job Size</t>
        </is>
      </c>
    </row>
    <row r="4" ht="15" customHeight="1" s="70">
      <c r="A4" s="95" t="inlineStr">
        <is>
          <t>E-01</t>
        </is>
      </c>
      <c r="B4" s="95" t="inlineStr">
        <is>
          <t>Portail Sponsor Self-Service</t>
        </is>
      </c>
      <c r="C4" s="95" t="inlineStr">
        <is>
          <t>VS2 - Sponsor to Impression</t>
        </is>
      </c>
      <c r="D4" s="95" t="inlineStr">
        <is>
          <t>TS1 - Monétisation</t>
        </is>
      </c>
      <c r="E4" s="95">
        <f>IF(L4=0,0,(J4+K4)/L4)</f>
        <v/>
      </c>
      <c r="F4" s="95" t="inlineStr">
        <is>
          <t>PI-1</t>
        </is>
      </c>
      <c r="G4" s="96" t="inlineStr">
        <is>
          <t>Backlog</t>
        </is>
      </c>
      <c r="H4" s="95" t="n">
        <v>15</v>
      </c>
      <c r="I4" s="95" t="n"/>
      <c r="J4" s="69" t="n">
        <v>5</v>
      </c>
      <c r="K4" s="69" t="n">
        <v>8</v>
      </c>
      <c r="L4" s="69" t="n">
        <v>1</v>
      </c>
    </row>
    <row r="5" ht="15" customHeight="1" s="70">
      <c r="A5" s="95" t="inlineStr">
        <is>
          <t>E-02</t>
        </is>
      </c>
      <c r="B5" s="95" t="inlineStr">
        <is>
          <t>Rotation Sponsors</t>
        </is>
      </c>
      <c r="C5" s="95" t="inlineStr">
        <is>
          <t>VS2 - Sponsor to Impression</t>
        </is>
      </c>
      <c r="D5" s="95" t="inlineStr">
        <is>
          <t>TS1 - Monétisation</t>
        </is>
      </c>
      <c r="E5" s="95">
        <f>IF(L5=0,0,(J5+K5)/L5)</f>
        <v/>
      </c>
      <c r="F5" s="95" t="inlineStr">
        <is>
          <t>PI-1</t>
        </is>
      </c>
      <c r="G5" s="96" t="inlineStr">
        <is>
          <t>Backlog</t>
        </is>
      </c>
      <c r="H5" s="95" t="n">
        <v>8</v>
      </c>
      <c r="I5" s="95" t="n"/>
      <c r="J5" s="69" t="n">
        <v>5</v>
      </c>
      <c r="K5" s="69" t="n">
        <v>5</v>
      </c>
      <c r="L5" s="69" t="n">
        <v>1</v>
      </c>
    </row>
    <row r="6" ht="15" customHeight="1" s="70">
      <c r="A6" s="95" t="inlineStr">
        <is>
          <t>E-03</t>
        </is>
      </c>
      <c r="B6" s="95" t="inlineStr">
        <is>
          <t>Analytics Sponsors Avancé</t>
        </is>
      </c>
      <c r="C6" s="95" t="inlineStr">
        <is>
          <t>VS2 - Sponsor to Impression</t>
        </is>
      </c>
      <c r="D6" s="95" t="inlineStr">
        <is>
          <t>TS1 - Monétisation</t>
        </is>
      </c>
      <c r="E6" s="95">
        <f>IF(L6=0,0,(J6+K6)/L6)</f>
        <v/>
      </c>
      <c r="F6" s="95" t="inlineStr">
        <is>
          <t>PI-1</t>
        </is>
      </c>
      <c r="G6" s="96" t="inlineStr">
        <is>
          <t>Backlog</t>
        </is>
      </c>
      <c r="H6" s="95" t="n">
        <v>13</v>
      </c>
      <c r="I6" s="95" t="n"/>
      <c r="J6" s="69" t="n">
        <v>8</v>
      </c>
      <c r="K6" s="69" t="n">
        <v>13</v>
      </c>
      <c r="L6" s="69" t="n">
        <v>1</v>
      </c>
    </row>
    <row r="7" ht="15" customHeight="1" s="70">
      <c r="A7" s="95" t="inlineStr">
        <is>
          <t>E-04</t>
        </is>
      </c>
      <c r="B7" s="95" t="inlineStr">
        <is>
          <t>Profils Config Match</t>
        </is>
      </c>
      <c r="C7" s="95" t="inlineStr">
        <is>
          <t>VS1 - Club to Screen</t>
        </is>
      </c>
      <c r="D7" s="95" t="inlineStr">
        <is>
          <t>TS2 - Expérience Match</t>
        </is>
      </c>
      <c r="E7" s="95">
        <f>IF(L7=0,0,(J7+K7)/L7)</f>
        <v/>
      </c>
      <c r="F7" s="95" t="inlineStr">
        <is>
          <t>PI-1</t>
        </is>
      </c>
      <c r="G7" s="97" t="inlineStr">
        <is>
          <t>Terminé</t>
        </is>
      </c>
      <c r="H7" s="95" t="n">
        <v>10</v>
      </c>
      <c r="I7" s="95" t="n"/>
      <c r="J7" s="69" t="n">
        <v>3</v>
      </c>
      <c r="K7" s="69" t="n">
        <v>5</v>
      </c>
      <c r="L7" s="69" t="n">
        <v>1</v>
      </c>
    </row>
    <row r="8" ht="15" customHeight="1" s="70">
      <c r="A8" s="95" t="inlineStr">
        <is>
          <t>E-06</t>
        </is>
      </c>
      <c r="B8" s="95" t="inlineStr">
        <is>
          <t>Onboarding Automatisé</t>
        </is>
      </c>
      <c r="C8" s="95" t="inlineStr">
        <is>
          <t>VS1 - Club to Screen</t>
        </is>
      </c>
      <c r="D8" s="95" t="inlineStr">
        <is>
          <t>TS3 - Acquisition</t>
        </is>
      </c>
      <c r="E8" s="95">
        <f>IF(L8=0,0,(J8+K8)/L8)</f>
        <v/>
      </c>
      <c r="F8" s="95" t="inlineStr">
        <is>
          <t>PI-1</t>
        </is>
      </c>
      <c r="G8" s="98" t="inlineStr">
        <is>
          <t>Backlog</t>
        </is>
      </c>
      <c r="H8" s="95" t="n">
        <v>13</v>
      </c>
      <c r="I8" s="95" t="n"/>
      <c r="J8" s="69" t="n">
        <v>5</v>
      </c>
      <c r="K8" s="69" t="n">
        <v>8</v>
      </c>
      <c r="L8" s="69" t="n">
        <v>2</v>
      </c>
    </row>
    <row r="9" ht="15" customHeight="1" s="70">
      <c r="A9" s="95" t="inlineStr">
        <is>
          <t>E-07</t>
        </is>
      </c>
      <c r="B9" s="95" t="inlineStr">
        <is>
          <t>Résilience WiFi V2</t>
        </is>
      </c>
      <c r="C9" s="95" t="inlineStr">
        <is>
          <t>VS1 - Club to Screen</t>
        </is>
      </c>
      <c r="D9" s="95" t="inlineStr">
        <is>
          <t>TS3 - Acquisition</t>
        </is>
      </c>
      <c r="E9" s="95">
        <f>IF(L9=0,0,(J9+K9)/L9)</f>
        <v/>
      </c>
      <c r="F9" s="95" t="inlineStr">
        <is>
          <t>PI-1</t>
        </is>
      </c>
      <c r="G9" s="96" t="inlineStr">
        <is>
          <t>En cours</t>
        </is>
      </c>
      <c r="H9" s="95" t="n">
        <v>10</v>
      </c>
      <c r="I9" s="95" t="n"/>
      <c r="J9" s="69" t="n">
        <v>8</v>
      </c>
      <c r="K9" s="69" t="n">
        <v>13</v>
      </c>
      <c r="L9" s="69" t="n">
        <v>1</v>
      </c>
    </row>
    <row r="10" ht="15" customHeight="1" s="70">
      <c r="A10" s="95" t="inlineStr">
        <is>
          <t>E-08</t>
        </is>
      </c>
      <c r="B10" s="95" t="inlineStr">
        <is>
          <t>Alertes Prédictives</t>
        </is>
      </c>
      <c r="C10" s="95" t="inlineStr">
        <is>
          <t>Transverse</t>
        </is>
      </c>
      <c r="D10" s="95" t="inlineStr">
        <is>
          <t>TS4 - Excellence Ops</t>
        </is>
      </c>
      <c r="E10" s="95">
        <f>IF(L10=0,0,(J10+K10)/L10)</f>
        <v/>
      </c>
      <c r="F10" s="95" t="inlineStr">
        <is>
          <t>PI-1</t>
        </is>
      </c>
      <c r="G10" s="99" t="inlineStr">
        <is>
          <t>Terminé</t>
        </is>
      </c>
      <c r="H10" s="95" t="n">
        <v>8</v>
      </c>
      <c r="I10" s="95" t="n"/>
      <c r="J10" s="69" t="n">
        <v>5</v>
      </c>
      <c r="K10" s="69" t="n">
        <v>8</v>
      </c>
      <c r="L10" s="69" t="n">
        <v>1</v>
      </c>
    </row>
    <row r="11" ht="15" customHeight="1" s="70">
      <c r="A11" s="95" t="inlineStr">
        <is>
          <t>E-09</t>
        </is>
      </c>
      <c r="B11" s="95" t="inlineStr">
        <is>
          <t>Architecture Audit</t>
        </is>
      </c>
      <c r="C11" s="95" t="inlineStr">
        <is>
          <t>Transverse</t>
        </is>
      </c>
      <c r="D11" s="95" t="inlineStr">
        <is>
          <t>TS4 - Excellence Ops</t>
        </is>
      </c>
      <c r="E11" s="95">
        <f>IF(L11=0,0,(J11+K11)/L11)</f>
        <v/>
      </c>
      <c r="F11" s="95" t="inlineStr">
        <is>
          <t>PI-1</t>
        </is>
      </c>
      <c r="G11" s="97" t="inlineStr">
        <is>
          <t>Terminé</t>
        </is>
      </c>
      <c r="H11" s="95" t="n">
        <v>8</v>
      </c>
      <c r="I11" s="95" t="n"/>
      <c r="J11" s="69" t="n">
        <v>5</v>
      </c>
      <c r="K11" s="69" t="n">
        <v>5</v>
      </c>
      <c r="L11" s="69" t="n">
        <v>1</v>
      </c>
    </row>
    <row r="12" ht="15" customHeight="1" s="70">
      <c r="A12" s="95" t="inlineStr">
        <is>
          <t>E-10</t>
        </is>
      </c>
      <c r="B12" s="95" t="inlineStr">
        <is>
          <t>Monitoring Fleet</t>
        </is>
      </c>
      <c r="C12" s="95" t="inlineStr">
        <is>
          <t>Transverse</t>
        </is>
      </c>
      <c r="D12" s="95" t="inlineStr">
        <is>
          <t>TS4 - Excellence Ops</t>
        </is>
      </c>
      <c r="E12" s="95">
        <f>IF(L12=0,0,(J12+K12)/L12)</f>
        <v/>
      </c>
      <c r="F12" s="95" t="inlineStr">
        <is>
          <t>PI-1</t>
        </is>
      </c>
      <c r="G12" s="97" t="inlineStr">
        <is>
          <t>En cours</t>
        </is>
      </c>
      <c r="H12" s="95" t="n">
        <v>10</v>
      </c>
      <c r="I12" s="95" t="n"/>
      <c r="J12" s="69" t="n">
        <v>8</v>
      </c>
      <c r="K12" s="69" t="n">
        <v>13</v>
      </c>
      <c r="L12" s="69" t="n">
        <v>2</v>
      </c>
    </row>
    <row r="13" ht="15" customHeight="1" s="70">
      <c r="A13" s="95" t="inlineStr">
        <is>
          <t>E-05</t>
        </is>
      </c>
      <c r="B13" s="95" t="inlineStr">
        <is>
          <t>Motion Design Personnalisé</t>
        </is>
      </c>
      <c r="C13" s="95" t="inlineStr">
        <is>
          <t>VS2 - Sponsor to Impression</t>
        </is>
      </c>
      <c r="D13" s="95" t="inlineStr">
        <is>
          <t>TS2 - Expérience Match</t>
        </is>
      </c>
      <c r="E13" s="95">
        <f>IF(L13=0,0,(J13+K13)/L13)</f>
        <v/>
      </c>
      <c r="F13" s="95" t="inlineStr">
        <is>
          <t>PI-2</t>
        </is>
      </c>
      <c r="G13" s="99" t="inlineStr">
        <is>
          <t>Backlog</t>
        </is>
      </c>
      <c r="H13" s="95" t="n">
        <v>13</v>
      </c>
      <c r="I13" s="95" t="n"/>
      <c r="J13" s="69" t="n">
        <v>5</v>
      </c>
      <c r="K13" s="69" t="n">
        <v>5</v>
      </c>
      <c r="L13" s="69" t="n">
        <v>1</v>
      </c>
    </row>
    <row r="14" ht="15" customHeight="1" s="70">
      <c r="A14" s="95" t="inlineStr">
        <is>
          <t>E-11</t>
        </is>
      </c>
      <c r="B14" s="95" t="inlineStr">
        <is>
          <t>Régie Publicitaire Régionale</t>
        </is>
      </c>
      <c r="C14" s="95" t="inlineStr">
        <is>
          <t>VS2 - Sponsor to Impression</t>
        </is>
      </c>
      <c r="D14" s="95" t="inlineStr">
        <is>
          <t>TS1 - Monétisation</t>
        </is>
      </c>
      <c r="E14" s="95">
        <f>IF(L14=0,0,(J14+K14)/L14)</f>
        <v/>
      </c>
      <c r="F14" s="95" t="inlineStr">
        <is>
          <t>PI-2</t>
        </is>
      </c>
      <c r="G14" s="98" t="inlineStr">
        <is>
          <t>Backlog</t>
        </is>
      </c>
      <c r="H14" s="95" t="n">
        <v>20</v>
      </c>
      <c r="I14" s="95" t="n"/>
      <c r="J14" s="69" t="n">
        <v>3</v>
      </c>
      <c r="K14" s="69" t="n">
        <v>5</v>
      </c>
      <c r="L14" s="69" t="n">
        <v>1</v>
      </c>
    </row>
    <row r="15" ht="15" customHeight="1" s="70">
      <c r="A15" s="95" t="inlineStr">
        <is>
          <t>E-15</t>
        </is>
      </c>
      <c r="B15" s="95" t="inlineStr">
        <is>
          <t>Score en Live Phase 2 (API Fédérations)</t>
        </is>
      </c>
      <c r="C15" s="95" t="inlineStr">
        <is>
          <t>VS1 - Club to Screen</t>
        </is>
      </c>
      <c r="D15" s="95" t="inlineStr">
        <is>
          <t>TS2 - Expérience Match</t>
        </is>
      </c>
      <c r="E15" s="95">
        <f>IF(L15=0,0,(J15+K15)/L15)</f>
        <v/>
      </c>
      <c r="F15" s="95" t="inlineStr">
        <is>
          <t>PI-2</t>
        </is>
      </c>
      <c r="G15" s="98" t="inlineStr">
        <is>
          <t>Backlog</t>
        </is>
      </c>
      <c r="H15" s="95" t="n">
        <v>11</v>
      </c>
      <c r="I15" s="95" t="n"/>
      <c r="J15" s="69" t="n">
        <v>3</v>
      </c>
      <c r="K15" s="69" t="n">
        <v>5</v>
      </c>
      <c r="L15" s="69" t="n">
        <v>1</v>
      </c>
    </row>
    <row r="16" ht="15" customHeight="1" s="70">
      <c r="A16" s="95" t="inlineStr">
        <is>
          <t>E-16</t>
        </is>
      </c>
      <c r="B16" s="95" t="inlineStr">
        <is>
          <t>Rapports Email Automatiques</t>
        </is>
      </c>
      <c r="C16" s="95" t="inlineStr">
        <is>
          <t>Transverse</t>
        </is>
      </c>
      <c r="D16" s="95" t="inlineStr">
        <is>
          <t>TS4 - Excellence Ops</t>
        </is>
      </c>
      <c r="E16" s="95">
        <f>IF(L16=0,0,(J16+K16)/L16)</f>
        <v/>
      </c>
      <c r="F16" s="95" t="inlineStr">
        <is>
          <t>PI-2</t>
        </is>
      </c>
      <c r="G16" s="98" t="inlineStr">
        <is>
          <t>Backlog</t>
        </is>
      </c>
      <c r="H16" s="95" t="n">
        <v>8</v>
      </c>
      <c r="I16" s="95" t="n"/>
      <c r="J16" s="69" t="n">
        <v>2</v>
      </c>
      <c r="K16" s="69" t="n">
        <v>5</v>
      </c>
      <c r="L16" s="69" t="n">
        <v>2</v>
      </c>
    </row>
    <row r="17" ht="15" customHeight="1" s="70">
      <c r="A17" s="95" t="inlineStr">
        <is>
          <t>E-17</t>
        </is>
      </c>
      <c r="B17" s="95" t="inlineStr">
        <is>
          <t>A/B Testing Créas Sponsors</t>
        </is>
      </c>
      <c r="C17" s="95" t="inlineStr">
        <is>
          <t>VS2 - Sponsor to Impression</t>
        </is>
      </c>
      <c r="D17" s="95" t="inlineStr">
        <is>
          <t>TS1 - Monétisation</t>
        </is>
      </c>
      <c r="E17" s="95">
        <f>IF(L17=0,0,(J17+K17)/L17)</f>
        <v/>
      </c>
      <c r="F17" s="95" t="inlineStr">
        <is>
          <t>PI-2</t>
        </is>
      </c>
      <c r="G17" s="98" t="inlineStr">
        <is>
          <t>Backlog</t>
        </is>
      </c>
      <c r="H17" s="95" t="n">
        <v>13</v>
      </c>
      <c r="I17" s="95" t="n"/>
      <c r="J17" s="69" t="n">
        <v>2</v>
      </c>
      <c r="K17" s="69" t="n">
        <v>3</v>
      </c>
      <c r="L17" s="69" t="n">
        <v>1</v>
      </c>
    </row>
    <row r="18" ht="15" customHeight="1" s="70">
      <c r="A18" s="95" t="inlineStr">
        <is>
          <t>E-12</t>
        </is>
      </c>
      <c r="B18" s="95" t="inlineStr">
        <is>
          <t>Multi-Écrans Synchronisés</t>
        </is>
      </c>
      <c r="C18" s="95" t="inlineStr">
        <is>
          <t>VS1 - Club to Screen</t>
        </is>
      </c>
      <c r="D18" s="95" t="inlineStr">
        <is>
          <t>TS2 - Expérience Match</t>
        </is>
      </c>
      <c r="E18" s="95">
        <f>IF(L18=0,0,(J18+K18)/L18)</f>
        <v/>
      </c>
      <c r="F18" s="95" t="inlineStr">
        <is>
          <t>PI-3</t>
        </is>
      </c>
      <c r="G18" s="98" t="inlineStr">
        <is>
          <t>Backlog</t>
        </is>
      </c>
      <c r="H18" s="95" t="n">
        <v>15</v>
      </c>
      <c r="I18" s="95" t="n"/>
      <c r="J18" s="69" t="n">
        <v>2</v>
      </c>
      <c r="K18" s="69" t="n">
        <v>3</v>
      </c>
      <c r="L18" s="69" t="n">
        <v>1</v>
      </c>
    </row>
    <row r="19" ht="15" customHeight="1" s="70">
      <c r="A19" s="95" t="inlineStr">
        <is>
          <t>E-13</t>
        </is>
      </c>
      <c r="B19" s="95" t="inlineStr">
        <is>
          <t>Marque Blanche Club</t>
        </is>
      </c>
      <c r="C19" s="95" t="inlineStr">
        <is>
          <t>VS1 - Club to Screen</t>
        </is>
      </c>
      <c r="D19" s="95" t="inlineStr">
        <is>
          <t>TS2 - Expérience Match</t>
        </is>
      </c>
      <c r="E19" s="95">
        <f>IF(L19=0,0,(J19+K19)/L19)</f>
        <v/>
      </c>
      <c r="F19" s="95" t="inlineStr">
        <is>
          <t>PI-3</t>
        </is>
      </c>
      <c r="G19" s="98" t="inlineStr">
        <is>
          <t>Backlog</t>
        </is>
      </c>
      <c r="H19" s="95" t="n">
        <v>8</v>
      </c>
      <c r="I19" s="95" t="n"/>
      <c r="J19" s="69" t="n">
        <v>3</v>
      </c>
      <c r="K19" s="69" t="n">
        <v>5</v>
      </c>
      <c r="L19" s="69" t="n">
        <v>1</v>
      </c>
    </row>
    <row r="20" ht="15" customHeight="1" s="70">
      <c r="A20" s="95" t="inlineStr">
        <is>
          <t>E-14</t>
        </is>
      </c>
      <c r="B20" s="95" t="inlineStr">
        <is>
          <t>Fonds de Solidarité Sport</t>
        </is>
      </c>
      <c r="C20" s="95" t="inlineStr">
        <is>
          <t>Transverse</t>
        </is>
      </c>
      <c r="D20" s="95" t="inlineStr">
        <is>
          <t>TS3 - Acquisition</t>
        </is>
      </c>
      <c r="E20" s="95">
        <f>IF(L20=0,0,(J20+K20)/L20)</f>
        <v/>
      </c>
      <c r="F20" s="95" t="inlineStr">
        <is>
          <t>PI-3</t>
        </is>
      </c>
      <c r="G20" s="98" t="inlineStr">
        <is>
          <t>Backlog</t>
        </is>
      </c>
      <c r="H20" s="95" t="n">
        <v>5</v>
      </c>
      <c r="I20" s="95" t="n"/>
      <c r="J20" s="69" t="n">
        <v>3</v>
      </c>
      <c r="K20" s="69" t="n">
        <v>5</v>
      </c>
      <c r="L20" s="69" t="n">
        <v>2</v>
      </c>
    </row>
    <row r="21" ht="15" customHeight="1" s="70">
      <c r="A21" s="95" t="inlineStr">
        <is>
          <t>E-18</t>
        </is>
      </c>
      <c r="B21" s="95" t="inlineStr">
        <is>
          <t>Intégrations Billetterie</t>
        </is>
      </c>
      <c r="C21" s="95" t="inlineStr">
        <is>
          <t>VS1 - Club to Screen</t>
        </is>
      </c>
      <c r="D21" s="95" t="inlineStr">
        <is>
          <t>TS2 - Expérience Match</t>
        </is>
      </c>
      <c r="E21" s="95">
        <f>IF(L21=0,0,(J21+K21)/L21)</f>
        <v/>
      </c>
      <c r="F21" s="95" t="inlineStr">
        <is>
          <t>PI-3</t>
        </is>
      </c>
      <c r="G21" s="98" t="inlineStr">
        <is>
          <t>Backlog</t>
        </is>
      </c>
      <c r="H21" s="95" t="n">
        <v>8</v>
      </c>
      <c r="I21" s="95" t="n"/>
      <c r="J21" s="69" t="n">
        <v>2</v>
      </c>
      <c r="K21" s="69" t="n">
        <v>3</v>
      </c>
      <c r="L21" s="69" t="n">
        <v>1</v>
      </c>
    </row>
    <row r="22" ht="15" customHeight="1" s="70">
      <c r="A22" s="95" t="inlineStr">
        <is>
          <t>E-19</t>
        </is>
      </c>
      <c r="B22" s="95" t="inlineStr">
        <is>
          <t>Capteurs Présence Hardware</t>
        </is>
      </c>
      <c r="C22" s="95" t="inlineStr">
        <is>
          <t>VS1 - Club to Screen</t>
        </is>
      </c>
      <c r="D22" s="95" t="inlineStr">
        <is>
          <t>TS2 - Expérience Match</t>
        </is>
      </c>
      <c r="E22" s="95">
        <f>IF(L22=0,0,(J22+K22)/L22)</f>
        <v/>
      </c>
      <c r="F22" s="95" t="inlineStr">
        <is>
          <t>PI-3</t>
        </is>
      </c>
      <c r="G22" s="98" t="inlineStr">
        <is>
          <t>Backlog</t>
        </is>
      </c>
      <c r="H22" s="95" t="n">
        <v>13</v>
      </c>
      <c r="I22" s="95" t="n"/>
      <c r="J22" s="69" t="n">
        <v>2</v>
      </c>
      <c r="K22" s="69" t="n">
        <v>2</v>
      </c>
      <c r="L22" s="69" t="n">
        <v>3</v>
      </c>
    </row>
    <row r="23" ht="15" customHeight="1" s="70">
      <c r="A23" s="95" t="inlineStr">
        <is>
          <t>E-20</t>
        </is>
      </c>
      <c r="B23" s="95" t="inlineStr">
        <is>
          <t>Analytics Prédictives ML</t>
        </is>
      </c>
      <c r="C23" s="95" t="inlineStr">
        <is>
          <t>Transverse</t>
        </is>
      </c>
      <c r="D23" s="95" t="inlineStr">
        <is>
          <t>TS4 - Excellence Ops</t>
        </is>
      </c>
      <c r="E23" s="95">
        <f>IF(L23=0,0,(J23+K23)/L23)</f>
        <v/>
      </c>
      <c r="F23" s="95" t="inlineStr">
        <is>
          <t>PI-3</t>
        </is>
      </c>
      <c r="G23" s="98" t="inlineStr">
        <is>
          <t>Backlog</t>
        </is>
      </c>
      <c r="H23" s="95" t="n">
        <v>13</v>
      </c>
      <c r="I23" s="95" t="n"/>
      <c r="J23" s="69" t="n">
        <v>2</v>
      </c>
      <c r="K23" s="69" t="n">
        <v>3</v>
      </c>
      <c r="L23" s="69" t="n">
        <v>1</v>
      </c>
    </row>
    <row r="24" ht="15" customHeight="1" s="70">
      <c r="A24" s="95" t="inlineStr">
        <is>
          <t>E-21</t>
        </is>
      </c>
      <c r="B24" s="95" t="inlineStr">
        <is>
          <t>API Partenaires OAuth</t>
        </is>
      </c>
      <c r="C24" s="95" t="inlineStr">
        <is>
          <t>Transverse</t>
        </is>
      </c>
      <c r="D24" s="95" t="inlineStr">
        <is>
          <t>TS1 - Monétisation</t>
        </is>
      </c>
      <c r="E24" s="95">
        <f>IF(L24=0,0,(J24+K24)/L24)</f>
        <v/>
      </c>
      <c r="F24" s="95" t="inlineStr">
        <is>
          <t>PI-3</t>
        </is>
      </c>
      <c r="G24" s="98" t="inlineStr">
        <is>
          <t>Backlog</t>
        </is>
      </c>
      <c r="H24" s="95" t="n">
        <v>13</v>
      </c>
      <c r="I24" s="95" t="n"/>
      <c r="J24" s="69" t="n">
        <v>2</v>
      </c>
      <c r="K24" s="69" t="n">
        <v>3</v>
      </c>
      <c r="L24" s="69" t="n">
        <v>1</v>
      </c>
    </row>
    <row r="25" ht="15" customHeight="1" s="70">
      <c r="A25" s="72" t="n"/>
      <c r="B25" s="72" t="n"/>
      <c r="C25" s="72" t="n"/>
      <c r="D25" s="72" t="n"/>
      <c r="E25" s="72">
        <f>IF(L25=0,0,(J25+K25)/L25)</f>
        <v/>
      </c>
      <c r="F25" s="72" t="n"/>
      <c r="G25" s="72" t="n"/>
      <c r="H25" s="72" t="n"/>
      <c r="I25" s="72" t="n"/>
    </row>
    <row r="26" ht="15" customHeight="1" s="70">
      <c r="A26" s="82" t="inlineStr">
        <is>
          <t>NEOPRO_SAFe_Portfolio.xlsx</t>
        </is>
      </c>
      <c r="B26" s="82" t="inlineStr">
        <is>
          <t>NEOPRO_SAFe_Portfolio.xlsx</t>
        </is>
      </c>
      <c r="C26" s="82" t="inlineStr">
        <is>
          <t>NEOPRO_SAFe_Portfolio.xlsx</t>
        </is>
      </c>
      <c r="D26" s="72" t="n"/>
      <c r="E26" s="72">
        <f>IF(L26=0,0,(J26+K26)/L26)</f>
        <v/>
      </c>
      <c r="F26" s="72" t="n"/>
      <c r="G26" s="72" t="n"/>
      <c r="H26" s="72" t="n"/>
      <c r="I26" s="72" t="n"/>
    </row>
  </sheetData>
  <autoFilter ref="A3:I26"/>
  <mergeCells count="1">
    <mergeCell ref="A1:H1"/>
  </mergeCells>
  <conditionalFormatting sqref="G4:G26">
    <cfRule type="cellIs" rank="0" priority="2" equalAverage="0" operator="equal" aboveAverage="0" dxfId="8" text="" percent="0" bottom="0">
      <formula>"Terminé"</formula>
    </cfRule>
    <cfRule type="cellIs" rank="0" priority="3" equalAverage="0" operator="equal" aboveAverage="0" dxfId="9" text="" percent="0" bottom="0">
      <formula>"En cours"</formula>
    </cfRule>
    <cfRule type="cellIs" rank="0" priority="4" equalAverage="0" operator="equal" aboveAverage="0" dxfId="10" text="" percent="0" bottom="0">
      <formula>"Backlog"</formula>
    </cfRule>
  </conditionalFormatting>
  <dataValidations count="10">
    <dataValidation sqref="C4:C26" showDropDown="1" showInputMessage="0" showErrorMessage="0" allowBlank="1" errorTitle="Entrée invalide" error="Sélectionner une valeur valide" type="list" errorStyle="stop" operator="between">
      <formula1>"VS1 - Club to Screen,VS2 - Sponsor to Impression,Transverse"</formula1>
      <formula2>0</formula2>
    </dataValidation>
    <dataValidation sqref="D4:D26" showDropDown="1" showInputMessage="0" showErrorMessage="0" allowBlank="1" errorTitle="Entrée invalide" error="Sélectionner une valeur valide" type="list" errorStyle="stop" operator="between">
      <formula1>"TS1 - Monétisation,TS2 - Expérience Match,TS3 - Acquisition,TS4 - Excellence Ops"</formula1>
      <formula2>0</formula2>
    </dataValidation>
    <dataValidation sqref="F4:F26" showDropDown="1" showInputMessage="0" showErrorMessage="0" allowBlank="1" errorTitle="Entrée invalide" error="Sélectionner une valeur valide" type="list" errorStyle="stop" operator="between">
      <formula1>"PI-1,PI-2,PI-3,PI-4"</formula1>
      <formula2>0</formula2>
    </dataValidation>
    <dataValidation sqref="G4:G26" showDropDown="1" showInputMessage="0" showErrorMessage="0" allowBlank="1" errorTitle="Entrée invalide" error="Sélectionner une valeur valide" type="list" errorStyle="stop" operator="between">
      <formula1>"Funnel,Analyse,Backlog,En cours,Terminé,Abandonné"</formula1>
      <formula2>0</formula2>
    </dataValidation>
    <dataValidation sqref="J4:J24" showDropDown="0" showInputMessage="0" showErrorMessage="0" allowBlank="0" type="list" errorStyle="stop" operator="between">
      <formula1>"1,2,3,5,8,13"</formula1>
      <formula2>0</formula2>
    </dataValidation>
    <dataValidation sqref="K4:K24" showDropDown="0" showInputMessage="0" showErrorMessage="0" allowBlank="0" type="list" errorStyle="stop" operator="between">
      <formula1>"1,2,3,5,8,13"</formula1>
      <formula2>0</formula2>
    </dataValidation>
    <dataValidation sqref="L4:L24" showDropDown="0" showInputMessage="0" showErrorMessage="0" allowBlank="0" type="list" errorStyle="stop" operator="between">
      <formula1>"1,2,3,5,8,13"</formula1>
      <formula2>0</formula2>
    </dataValidation>
    <dataValidation sqref="J4 J5 J6 J7 J8 J9 J10 J11 J12 J13 J14 J15 J16 J17 J18 J19 J20 J21 J22 J23 J24 J25 J26" showDropDown="0" showInputMessage="0" showErrorMessage="0" allowBlank="1" errorTitle="Invalid Input" error="Please enter a Fibonacci value: 1,2,3,5,8,13" promptTitle="Business Value" prompt="Select from: 1, 2, 3, 5, 8, 13" type="list">
      <formula1>"1,2,3,5,8,13"</formula1>
    </dataValidation>
    <dataValidation sqref="K4 K5 K6 K7 K8 K9 K10 K11 K12 K13 K14 K15 K16 K17 K18 K19 K20 K21 K22 K23 K24 K25 K26" showDropDown="0" showInputMessage="0" showErrorMessage="0" allowBlank="1" errorTitle="Invalid Input" error="Please enter a Fibonacci value: 1,2,3,5,8,13" promptTitle="Time Criticality" prompt="Select from: 1, 2, 3, 5, 8, 13" type="list">
      <formula1>"1,2,3,5,8,13"</formula1>
    </dataValidation>
    <dataValidation sqref="L4 L5 L6 L7 L8 L9 L10 L11 L12 L13 L14 L15 L16 L17 L18 L19 L20 L21 L22 L23 L24 L25 L26" showDropDown="0" showInputMessage="0" showErrorMessage="0" allowBlank="1" errorTitle="Invalid Input" error="Please enter a Fibonacci value: 1,2,3,5,8,13" promptTitle="Job Size" prompt="Select from: 1, 2, 3, 5, 8, 13" type="list">
      <formula1>"1,2,3,5,8,13"</formula1>
    </dataValidation>
  </dataValidations>
  <hyperlinks>
    <hyperlink xmlns:r="http://schemas.openxmlformats.org/officeDocument/2006/relationships" ref="A1" location="Dashboard!A1" display="← Dashboard | ← Dashboard" r:id="rId1"/>
    <hyperlink xmlns:r="http://schemas.openxmlformats.org/officeDocument/2006/relationships" ref="A26" location="Dashboard!A1" display="NEOPRO_SAFe_Portfolio.xlsx" r:id="rId2"/>
    <hyperlink xmlns:r="http://schemas.openxmlformats.org/officeDocument/2006/relationships" ref="B26" location="'Features%20&amp;%20US'!A1" display="NEOPRO_SAFe_Portfolio.xlsx" r:id="rId3"/>
    <hyperlink xmlns:r="http://schemas.openxmlformats.org/officeDocument/2006/relationships" ref="C26" location="'Implemented%20Backlog'!A1" display="NEOPRO_SAFe_Portfolio.xlsx" r:id="rId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5"/>
</worksheet>
</file>

<file path=xl/worksheets/sheet6.xml><?xml version="1.0" encoding="utf-8"?>
<worksheet xmlns="http://schemas.openxmlformats.org/spreadsheetml/2006/main">
  <sheetPr filterMode="0">
    <outlinePr summaryBelow="1" summaryRight="1"/>
    <pageSetUpPr fitToPage="0"/>
  </sheetPr>
  <dimension ref="A1:J7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69" min="1" max="8"/>
  </cols>
  <sheetData>
    <row r="1" ht="15" customHeight="1" s="70">
      <c r="A1" s="78" t="inlineStr">
        <is>
          <t>← Dashboard | ← Dashboard</t>
        </is>
      </c>
    </row>
    <row r="2" ht="15" customHeight="1" s="70">
      <c r="A2" s="72" t="n"/>
      <c r="B2" s="72" t="n"/>
      <c r="C2" s="72" t="n"/>
      <c r="D2" s="72" t="n"/>
      <c r="E2" s="72" t="n"/>
      <c r="F2" s="72" t="n"/>
      <c r="G2" s="72" t="n"/>
      <c r="H2" s="72" t="n"/>
    </row>
    <row r="3" ht="15" customHeight="1" s="70">
      <c r="A3" s="100" t="inlineStr">
        <is>
          <t>DONE SECTION</t>
        </is>
      </c>
    </row>
    <row r="4" ht="15" customHeight="1" s="70">
      <c r="A4" s="101" t="inlineStr">
        <is>
          <t>Epic</t>
        </is>
      </c>
      <c r="B4" s="101" t="inlineStr">
        <is>
          <t>Feature ID</t>
        </is>
      </c>
      <c r="C4" s="101" t="inlineStr">
        <is>
          <t>Feature</t>
        </is>
      </c>
      <c r="D4" s="101" t="inlineStr">
        <is>
          <t>US Count</t>
        </is>
      </c>
      <c r="E4" s="101" t="inlineStr">
        <is>
          <t>SP</t>
        </is>
      </c>
      <c r="F4" s="101" t="inlineStr">
        <is>
          <t>Priority</t>
        </is>
      </c>
      <c r="G4" s="101" t="inlineStr">
        <is>
          <t>Statut</t>
        </is>
      </c>
      <c r="H4" s="101" t="inlineStr">
        <is>
          <t>Notes</t>
        </is>
      </c>
      <c r="I4" s="94" t="inlineStr">
        <is>
          <t>PI</t>
        </is>
      </c>
      <c r="J4" s="94" t="inlineStr">
        <is>
          <t>Sprint</t>
        </is>
      </c>
    </row>
    <row r="5" ht="15" customHeight="1" s="70">
      <c r="A5" s="101" t="inlineStr">
        <is>
          <t>E-04</t>
        </is>
      </c>
      <c r="B5" s="101" t="inlineStr">
        <is>
          <t>F-04.1</t>
        </is>
      </c>
      <c r="C5" s="101" t="inlineStr">
        <is>
          <t>Création de profils prédéfinis</t>
        </is>
      </c>
      <c r="D5" s="101" t="n">
        <v>1</v>
      </c>
      <c r="E5" s="101" t="n">
        <v>5</v>
      </c>
      <c r="F5" s="102" t="n">
        <v>1</v>
      </c>
      <c r="G5" s="101" t="inlineStr">
        <is>
          <t>Terminé</t>
        </is>
      </c>
      <c r="H5" s="101" t="n"/>
      <c r="I5" s="69" t="inlineStr">
        <is>
          <t>PI-1 (Jan-Mar 2025)</t>
        </is>
      </c>
    </row>
    <row r="6" ht="15" customHeight="1" s="70">
      <c r="A6" s="101" t="inlineStr">
        <is>
          <t>E-04</t>
        </is>
      </c>
      <c r="B6" s="101" t="inlineStr">
        <is>
          <t>F-04.2</t>
        </is>
      </c>
      <c r="C6" s="101" t="inlineStr">
        <is>
          <t>Switch depuis la télécommande</t>
        </is>
      </c>
      <c r="D6" s="101" t="n">
        <v>1</v>
      </c>
      <c r="E6" s="101" t="n">
        <v>5</v>
      </c>
      <c r="F6" s="102" t="n">
        <v>1</v>
      </c>
      <c r="G6" s="101" t="inlineStr">
        <is>
          <t>Terminé</t>
        </is>
      </c>
      <c r="H6" s="101" t="n"/>
      <c r="I6" s="69" t="inlineStr">
        <is>
          <t>PI-1 (Jan-Mar 2025)</t>
        </is>
      </c>
    </row>
    <row r="7" ht="15" customHeight="1" s="70">
      <c r="A7" s="101" t="inlineStr">
        <is>
          <t>E-07</t>
        </is>
      </c>
      <c r="B7" s="101" t="inlineStr">
        <is>
          <t>F-07.1</t>
        </is>
      </c>
      <c r="C7" s="101" t="inlineStr">
        <is>
          <t>Cache local étendu (48h)</t>
        </is>
      </c>
      <c r="D7" s="101" t="n">
        <v>1</v>
      </c>
      <c r="E7" s="101" t="n">
        <v>3</v>
      </c>
      <c r="F7" s="102" t="n">
        <v>1</v>
      </c>
      <c r="G7" s="101" t="inlineStr">
        <is>
          <t>Terminé</t>
        </is>
      </c>
      <c r="H7" s="101" t="n"/>
      <c r="I7" s="69" t="inlineStr">
        <is>
          <t>PI-1 (Jan-Mar 2025)</t>
        </is>
      </c>
    </row>
    <row r="8" ht="15" customHeight="1" s="70">
      <c r="A8" s="101" t="inlineStr">
        <is>
          <t>E-07</t>
        </is>
      </c>
      <c r="B8" s="101" t="inlineStr">
        <is>
          <t>F-07.2</t>
        </is>
      </c>
      <c r="C8" s="101" t="inlineStr">
        <is>
          <t>Monitoring signal WiFi</t>
        </is>
      </c>
      <c r="D8" s="101" t="n">
        <v>1</v>
      </c>
      <c r="E8" s="101" t="n">
        <v>2</v>
      </c>
      <c r="F8" s="103" t="n">
        <v>1</v>
      </c>
      <c r="G8" s="101" t="inlineStr">
        <is>
          <t>Terminé</t>
        </is>
      </c>
      <c r="H8" s="101" t="n"/>
      <c r="I8" s="69" t="inlineStr">
        <is>
          <t>PI-1 (Jan-Mar 2025)</t>
        </is>
      </c>
    </row>
    <row r="9" ht="15" customHeight="1" s="70">
      <c r="A9" s="101" t="inlineStr">
        <is>
          <t>E-07</t>
        </is>
      </c>
      <c r="B9" s="101" t="inlineStr">
        <is>
          <t>F-07.3</t>
        </is>
      </c>
      <c r="C9" s="101" t="inlineStr">
        <is>
          <t>Support clé USB WiFi externe</t>
        </is>
      </c>
      <c r="D9" s="101" t="n">
        <v>1</v>
      </c>
      <c r="E9" s="101" t="n">
        <v>3</v>
      </c>
      <c r="F9" s="102" t="n">
        <v>2</v>
      </c>
      <c r="G9" s="101" t="inlineStr">
        <is>
          <t>Backlog</t>
        </is>
      </c>
      <c r="H9" s="101" t="n"/>
      <c r="I9" s="69" t="inlineStr">
        <is>
          <t>PI-2 (Avr-Jun 2025)</t>
        </is>
      </c>
    </row>
    <row r="10" ht="15" customHeight="1" s="70">
      <c r="A10" s="101" t="inlineStr">
        <is>
          <t>E-08</t>
        </is>
      </c>
      <c r="B10" s="101" t="inlineStr">
        <is>
          <t>F-08.1</t>
        </is>
      </c>
      <c r="C10" s="101" t="inlineStr">
        <is>
          <t>Règles d'alertes prédictives</t>
        </is>
      </c>
      <c r="D10" s="101" t="n">
        <v>1</v>
      </c>
      <c r="E10" s="101" t="n">
        <v>4</v>
      </c>
      <c r="F10" s="103" t="n">
        <v>1</v>
      </c>
      <c r="G10" s="101" t="inlineStr">
        <is>
          <t>Terminé</t>
        </is>
      </c>
      <c r="H10" s="101" t="n"/>
      <c r="I10" s="69" t="inlineStr">
        <is>
          <t>PI-1 (Jan-Mar 2025)</t>
        </is>
      </c>
    </row>
    <row r="11" ht="15" customHeight="1" s="70">
      <c r="A11" s="101" t="inlineStr">
        <is>
          <t>E-08</t>
        </is>
      </c>
      <c r="B11" s="101" t="inlineStr">
        <is>
          <t>F-08.2</t>
        </is>
      </c>
      <c r="C11" s="101" t="inlineStr">
        <is>
          <t>Dashboard tendances</t>
        </is>
      </c>
      <c r="D11" s="101" t="n">
        <v>1</v>
      </c>
      <c r="E11" s="101" t="n">
        <v>4</v>
      </c>
      <c r="F11" s="102" t="n">
        <v>1</v>
      </c>
      <c r="G11" s="101" t="inlineStr">
        <is>
          <t>Terminé</t>
        </is>
      </c>
      <c r="H11" s="101" t="n"/>
      <c r="I11" s="69" t="inlineStr">
        <is>
          <t>PI-1 (Jan-Mar 2025)</t>
        </is>
      </c>
    </row>
    <row r="12" ht="15" customHeight="1" s="70">
      <c r="A12" s="101" t="inlineStr">
        <is>
          <t>E-09</t>
        </is>
      </c>
      <c r="B12" s="101" t="inlineStr">
        <is>
          <t>F-09.1</t>
        </is>
      </c>
      <c r="C12" s="101" t="inlineStr">
        <is>
          <t>Migration controllers vers repository pattern</t>
        </is>
      </c>
      <c r="D12" s="101" t="n">
        <v>1</v>
      </c>
      <c r="E12" s="101" t="n">
        <v>5</v>
      </c>
      <c r="F12" s="103" t="n">
        <v>1</v>
      </c>
      <c r="G12" s="101" t="inlineStr">
        <is>
          <t>Terminé</t>
        </is>
      </c>
      <c r="H12" s="101" t="n"/>
      <c r="I12" s="69" t="inlineStr">
        <is>
          <t>PI-1 (Jan-Mar 2025)</t>
        </is>
      </c>
    </row>
    <row r="13" ht="15" customHeight="1" s="70">
      <c r="A13" s="101" t="inlineStr">
        <is>
          <t>E-09</t>
        </is>
      </c>
      <c r="B13" s="101" t="inlineStr">
        <is>
          <t>F-09.2</t>
        </is>
      </c>
      <c r="C13" s="101" t="inlineStr">
        <is>
          <t>Audit sécurité et performance</t>
        </is>
      </c>
      <c r="D13" s="101" t="n">
        <v>1</v>
      </c>
      <c r="E13" s="101" t="n">
        <v>3</v>
      </c>
      <c r="F13" s="102" t="n">
        <v>1</v>
      </c>
      <c r="G13" s="101" t="inlineStr">
        <is>
          <t>Terminé</t>
        </is>
      </c>
      <c r="H13" s="101" t="n"/>
      <c r="I13" s="69" t="inlineStr">
        <is>
          <t>PI-1 (Jan-Mar 2025)</t>
        </is>
      </c>
    </row>
    <row r="14" ht="15" customHeight="1" s="70">
      <c r="A14" s="101" t="inlineStr">
        <is>
          <t>E-10</t>
        </is>
      </c>
      <c r="B14" s="101" t="inlineStr">
        <is>
          <t>F-10.1</t>
        </is>
      </c>
      <c r="C14" s="101" t="inlineStr">
        <is>
          <t>Carte de la flotte (Leaflet)</t>
        </is>
      </c>
      <c r="D14" s="101" t="n">
        <v>1</v>
      </c>
      <c r="E14" s="101" t="n">
        <v>5</v>
      </c>
      <c r="F14" s="103" t="n">
        <v>1</v>
      </c>
      <c r="G14" s="101" t="inlineStr">
        <is>
          <t>Backlog</t>
        </is>
      </c>
      <c r="H14" s="101" t="n"/>
      <c r="I14" s="69" t="inlineStr">
        <is>
          <t>PI-1 (Jan-Mar 2025)</t>
        </is>
      </c>
    </row>
    <row r="15" ht="15" customHeight="1" s="70">
      <c r="A15" s="104" t="inlineStr">
        <is>
          <t>E-10</t>
        </is>
      </c>
      <c r="B15" s="72" t="inlineStr">
        <is>
          <t>F-10.2</t>
        </is>
      </c>
      <c r="C15" s="72" t="inlineStr">
        <is>
          <t>Métriques agrégées flotte</t>
        </is>
      </c>
      <c r="D15" s="72" t="n">
        <v>1</v>
      </c>
      <c r="E15" s="72" t="n">
        <v>5</v>
      </c>
      <c r="F15" s="72" t="n">
        <v>1</v>
      </c>
      <c r="G15" s="72" t="inlineStr">
        <is>
          <t>Terminé</t>
        </is>
      </c>
      <c r="H15" s="72" t="n"/>
      <c r="I15" s="69" t="inlineStr">
        <is>
          <t>PI-1 (Jan-Mar 2025)</t>
        </is>
      </c>
    </row>
    <row r="16" ht="15" customHeight="1" s="70">
      <c r="A16" s="101" t="inlineStr">
        <is>
          <t>E-01</t>
        </is>
      </c>
      <c r="B16" s="101" t="inlineStr">
        <is>
          <t>F-01.1</t>
        </is>
      </c>
      <c r="C16" s="101" t="inlineStr">
        <is>
          <t>Inscription et profil sponsor</t>
        </is>
      </c>
      <c r="D16" s="101" t="n">
        <v>2</v>
      </c>
      <c r="E16" s="101" t="n">
        <v>6</v>
      </c>
      <c r="F16" s="101" t="n">
        <v>1</v>
      </c>
      <c r="G16" s="101" t="inlineStr">
        <is>
          <t>Backlog</t>
        </is>
      </c>
      <c r="H16" s="101" t="n"/>
      <c r="I16" s="69" t="inlineStr">
        <is>
          <t>PI-1 (Jan-Mar 2025)</t>
        </is>
      </c>
    </row>
    <row r="17" ht="15" customHeight="1" s="70">
      <c r="A17" s="101" t="inlineStr">
        <is>
          <t>E-01</t>
        </is>
      </c>
      <c r="B17" s="101" t="inlineStr">
        <is>
          <t>F-01.2</t>
        </is>
      </c>
      <c r="C17" s="101" t="inlineStr">
        <is>
          <t>Upload vidéo sponsor</t>
        </is>
      </c>
      <c r="D17" s="101" t="n">
        <v>2</v>
      </c>
      <c r="E17" s="101" t="n">
        <v>8</v>
      </c>
      <c r="F17" s="102" t="n">
        <v>1</v>
      </c>
      <c r="G17" s="101" t="inlineStr">
        <is>
          <t>Backlog</t>
        </is>
      </c>
      <c r="H17" s="101" t="n"/>
      <c r="I17" s="69" t="inlineStr">
        <is>
          <t>PI-1 (Jan-Mar 2025)</t>
        </is>
      </c>
    </row>
    <row r="18" ht="15" customHeight="1" s="70">
      <c r="A18" s="101" t="inlineStr">
        <is>
          <t>E-01</t>
        </is>
      </c>
      <c r="B18" s="101" t="inlineStr">
        <is>
          <t>F-01.3</t>
        </is>
      </c>
      <c r="C18" s="101" t="inlineStr">
        <is>
          <t>Validation admin des spots</t>
        </is>
      </c>
      <c r="D18" s="101" t="n">
        <v>1</v>
      </c>
      <c r="E18" s="101" t="n">
        <v>5</v>
      </c>
      <c r="F18" s="103" t="n">
        <v>1</v>
      </c>
      <c r="G18" s="101" t="inlineStr">
        <is>
          <t>Backlog</t>
        </is>
      </c>
      <c r="H18" s="101" t="n"/>
      <c r="I18" s="69" t="inlineStr">
        <is>
          <t>PI-1 (Jan-Mar 2025)</t>
        </is>
      </c>
    </row>
    <row r="19" ht="15" customHeight="1" s="70">
      <c r="A19" s="101" t="inlineStr">
        <is>
          <t>E-02</t>
        </is>
      </c>
      <c r="B19" s="101" t="inlineStr">
        <is>
          <t>F-02.1</t>
        </is>
      </c>
      <c r="C19" s="101" t="inlineStr">
        <is>
          <t>Algorithme de rotation équitable</t>
        </is>
      </c>
      <c r="D19" s="101" t="n">
        <v>2</v>
      </c>
      <c r="E19" s="101" t="n">
        <v>8</v>
      </c>
      <c r="F19" s="102" t="n">
        <v>1</v>
      </c>
      <c r="G19" s="101" t="inlineStr">
        <is>
          <t>Backlog</t>
        </is>
      </c>
      <c r="H19" s="101" t="n"/>
      <c r="I19" s="69" t="inlineStr">
        <is>
          <t>PI-1 (Jan-Mar 2025)</t>
        </is>
      </c>
    </row>
    <row r="20" ht="15" customHeight="1" s="70">
      <c r="A20" s="101" t="inlineStr">
        <is>
          <t>E-02</t>
        </is>
      </c>
      <c r="B20" s="101" t="inlineStr">
        <is>
          <t>F-02.2</t>
        </is>
      </c>
      <c r="C20" s="101" t="inlineStr">
        <is>
          <t>Configuration rotation par gymnase</t>
        </is>
      </c>
      <c r="D20" s="101" t="n">
        <v>1</v>
      </c>
      <c r="E20" s="101" t="n">
        <v>3</v>
      </c>
      <c r="F20" s="102" t="n">
        <v>2</v>
      </c>
      <c r="G20" s="101" t="inlineStr">
        <is>
          <t>Backlog</t>
        </is>
      </c>
      <c r="H20" s="101" t="n"/>
      <c r="I20" s="69" t="inlineStr">
        <is>
          <t>PI-2 (Avr-Jun 2025)</t>
        </is>
      </c>
    </row>
    <row r="21" ht="15" customHeight="1" s="70">
      <c r="A21" s="101" t="inlineStr">
        <is>
          <t>E-03</t>
        </is>
      </c>
      <c r="B21" s="101" t="inlineStr">
        <is>
          <t>F-03.1</t>
        </is>
      </c>
      <c r="C21" s="101" t="inlineStr">
        <is>
          <t>Dashboard impressions sponsor</t>
        </is>
      </c>
      <c r="D21" s="101" t="n">
        <v>2</v>
      </c>
      <c r="E21" s="101" t="n">
        <v>10</v>
      </c>
      <c r="F21" s="103" t="n">
        <v>1</v>
      </c>
      <c r="G21" s="101" t="inlineStr">
        <is>
          <t>Backlog</t>
        </is>
      </c>
      <c r="H21" s="101" t="n"/>
      <c r="I21" s="69" t="inlineStr">
        <is>
          <t>PI-1 (Jan-Mar 2025)</t>
        </is>
      </c>
    </row>
    <row r="22" ht="15" customHeight="1" s="70">
      <c r="A22" s="101" t="inlineStr">
        <is>
          <t>E-03</t>
        </is>
      </c>
      <c r="B22" s="101" t="inlineStr">
        <is>
          <t>F-03.2</t>
        </is>
      </c>
      <c r="C22" s="101" t="inlineStr">
        <is>
          <t>Export rapport PDF/CSV</t>
        </is>
      </c>
      <c r="D22" s="101" t="n">
        <v>2</v>
      </c>
      <c r="E22" s="101" t="n">
        <v>8</v>
      </c>
      <c r="F22" s="102" t="n">
        <v>1</v>
      </c>
      <c r="G22" s="101" t="inlineStr">
        <is>
          <t>Backlog</t>
        </is>
      </c>
      <c r="H22" s="101" t="n"/>
      <c r="I22" s="69" t="inlineStr">
        <is>
          <t>PI-1 (Jan-Mar 2025)</t>
        </is>
      </c>
    </row>
    <row r="23" ht="15" customHeight="1" s="70">
      <c r="A23" s="101" t="inlineStr">
        <is>
          <t>E-03</t>
        </is>
      </c>
      <c r="B23" s="101" t="inlineStr">
        <is>
          <t>F-03.3</t>
        </is>
      </c>
      <c r="C23" s="101" t="inlineStr">
        <is>
          <t>Heatmap de diffusion</t>
        </is>
      </c>
      <c r="D23" s="101" t="n">
        <v>1</v>
      </c>
      <c r="E23" s="101" t="n">
        <v>5</v>
      </c>
      <c r="F23" s="102" t="n">
        <v>2</v>
      </c>
      <c r="G23" s="101" t="inlineStr">
        <is>
          <t>Backlog</t>
        </is>
      </c>
      <c r="H23" s="101" t="n"/>
      <c r="I23" s="69" t="inlineStr">
        <is>
          <t>PI-2 (Avr-Jun 2025)</t>
        </is>
      </c>
    </row>
    <row r="24" ht="15" customHeight="1" s="70">
      <c r="A24" s="101" t="inlineStr">
        <is>
          <t>E-06</t>
        </is>
      </c>
      <c r="B24" s="101" t="inlineStr">
        <is>
          <t>F-06.1</t>
        </is>
      </c>
      <c r="C24" s="101" t="inlineStr">
        <is>
          <t>Auto-provisioning Pi</t>
        </is>
      </c>
      <c r="D24" s="101" t="n">
        <v>3</v>
      </c>
      <c r="E24" s="101" t="n">
        <v>13</v>
      </c>
      <c r="F24" s="103" t="n">
        <v>1</v>
      </c>
      <c r="G24" s="101" t="inlineStr">
        <is>
          <t>Backlog</t>
        </is>
      </c>
      <c r="H24" s="101" t="n"/>
      <c r="I24" s="69" t="inlineStr">
        <is>
          <t>PI-1 (Jan-Mar 2025)</t>
        </is>
      </c>
    </row>
    <row r="25" ht="15" customHeight="1" s="70">
      <c r="A25" s="101" t="inlineStr">
        <is>
          <t>E-06</t>
        </is>
      </c>
      <c r="B25" s="101" t="inlineStr">
        <is>
          <t>F-06.2</t>
        </is>
      </c>
      <c r="C25" s="101" t="inlineStr">
        <is>
          <t>Wizard de configuration club</t>
        </is>
      </c>
      <c r="D25" s="101" t="n">
        <v>1</v>
      </c>
      <c r="E25" s="101" t="n">
        <v>5</v>
      </c>
      <c r="F25" s="102" t="n">
        <v>1</v>
      </c>
      <c r="G25" s="101" t="inlineStr">
        <is>
          <t>Backlog</t>
        </is>
      </c>
      <c r="H25" s="101" t="n"/>
      <c r="I25" s="69" t="inlineStr">
        <is>
          <t>PI-1 (Jan-Mar 2025)</t>
        </is>
      </c>
    </row>
    <row r="26" ht="15" customHeight="1" s="70">
      <c r="A26" s="101" t="inlineStr">
        <is>
          <t>E-05</t>
        </is>
      </c>
      <c r="B26" s="101" t="inlineStr">
        <is>
          <t>F-05.1</t>
        </is>
      </c>
      <c r="C26" s="101" t="inlineStr">
        <is>
          <t>Bibliothèque de templates motion design</t>
        </is>
      </c>
      <c r="D26" s="101" t="n">
        <v>2</v>
      </c>
      <c r="E26" s="101" t="n">
        <v>11</v>
      </c>
      <c r="F26" s="103" t="n">
        <v>1</v>
      </c>
      <c r="G26" s="101" t="inlineStr">
        <is>
          <t>Backlog</t>
        </is>
      </c>
      <c r="H26" s="101" t="n"/>
      <c r="I26" s="69" t="inlineStr">
        <is>
          <t>PI-1 (Jan-Mar 2025)</t>
        </is>
      </c>
    </row>
    <row r="27" ht="15" customHeight="1" s="70">
      <c r="A27" s="101" t="inlineStr">
        <is>
          <t>E-05</t>
        </is>
      </c>
      <c r="B27" s="101" t="inlineStr">
        <is>
          <t>F-05.2</t>
        </is>
      </c>
      <c r="C27" s="101" t="inlineStr">
        <is>
          <t>Upload d'animations custom (Lottie/MP4)</t>
        </is>
      </c>
      <c r="D27" s="101" t="n">
        <v>1</v>
      </c>
      <c r="E27" s="101" t="n">
        <v>5</v>
      </c>
      <c r="F27" s="103" t="n">
        <v>2</v>
      </c>
      <c r="G27" s="101" t="inlineStr">
        <is>
          <t>Backlog</t>
        </is>
      </c>
      <c r="H27" s="101" t="n"/>
      <c r="I27" s="69" t="inlineStr">
        <is>
          <t>PI-2 (Avr-Jun 2025)</t>
        </is>
      </c>
    </row>
    <row r="28" ht="15" customHeight="1" s="70">
      <c r="A28" s="101" t="inlineStr">
        <is>
          <t>E-11</t>
        </is>
      </c>
      <c r="B28" s="101" t="inlineStr">
        <is>
          <t>F-11.1</t>
        </is>
      </c>
      <c r="C28" s="101" t="inlineStr">
        <is>
          <t>Portail annonceur régional</t>
        </is>
      </c>
      <c r="D28" s="101" t="n">
        <v>2</v>
      </c>
      <c r="E28" s="101" t="n">
        <v>13</v>
      </c>
      <c r="F28" s="105" t="n">
        <v>1</v>
      </c>
      <c r="G28" s="101" t="inlineStr">
        <is>
          <t>Backlog</t>
        </is>
      </c>
      <c r="H28" s="101" t="n"/>
      <c r="I28" s="69" t="inlineStr">
        <is>
          <t>PI-1 (Jan-Mar 2025)</t>
        </is>
      </c>
    </row>
    <row r="29" ht="15" customHeight="1" s="70">
      <c r="A29" s="104" t="inlineStr">
        <is>
          <t>E-11</t>
        </is>
      </c>
      <c r="B29" s="72" t="inlineStr">
        <is>
          <t>F-11.2</t>
        </is>
      </c>
      <c r="C29" s="72" t="inlineStr">
        <is>
          <t>Reporting consolidé régie</t>
        </is>
      </c>
      <c r="D29" s="72" t="n">
        <v>1</v>
      </c>
      <c r="E29" s="72" t="n">
        <v>8</v>
      </c>
      <c r="F29" s="72" t="n">
        <v>1</v>
      </c>
      <c r="G29" s="72" t="inlineStr">
        <is>
          <t>Backlog</t>
        </is>
      </c>
      <c r="H29" s="72" t="n"/>
      <c r="I29" s="69" t="inlineStr">
        <is>
          <t>PI-1 (Jan-Mar 2025)</t>
        </is>
      </c>
    </row>
    <row r="30" ht="15" customHeight="1" s="70">
      <c r="A30" s="101" t="inlineStr">
        <is>
          <t>E-15</t>
        </is>
      </c>
      <c r="B30" s="101" t="inlineStr">
        <is>
          <t>F-15.1</t>
        </is>
      </c>
      <c r="C30" s="101" t="inlineStr">
        <is>
          <t>Intégration API fédérations sportives</t>
        </is>
      </c>
      <c r="D30" s="101" t="n">
        <v>2</v>
      </c>
      <c r="E30" s="101" t="n">
        <v>11</v>
      </c>
      <c r="F30" s="101" t="n">
        <v>2</v>
      </c>
      <c r="G30" s="101" t="inlineStr">
        <is>
          <t>Backlog</t>
        </is>
      </c>
      <c r="H30" s="101" t="n"/>
      <c r="I30" s="69" t="inlineStr">
        <is>
          <t>PI-2 (Avr-Jun 2025)</t>
        </is>
      </c>
    </row>
    <row r="31" ht="15" customHeight="1" s="70">
      <c r="A31" s="101" t="inlineStr">
        <is>
          <t>E-16</t>
        </is>
      </c>
      <c r="B31" s="101" t="inlineStr">
        <is>
          <t>F-16.1</t>
        </is>
      </c>
      <c r="C31" s="101" t="inlineStr">
        <is>
          <t>Envoi automatique mensuel</t>
        </is>
      </c>
      <c r="D31" s="101" t="n">
        <v>2</v>
      </c>
      <c r="E31" s="101" t="n">
        <v>8</v>
      </c>
      <c r="F31" s="102" t="n">
        <v>1</v>
      </c>
      <c r="G31" s="101" t="inlineStr">
        <is>
          <t>Backlog</t>
        </is>
      </c>
      <c r="H31" s="101" t="n"/>
      <c r="I31" s="69" t="inlineStr">
        <is>
          <t>PI-1 (Jan-Mar 2025)</t>
        </is>
      </c>
    </row>
    <row r="32" ht="15" customHeight="1" s="70">
      <c r="A32" s="101" t="inlineStr">
        <is>
          <t>E-17</t>
        </is>
      </c>
      <c r="B32" s="101" t="inlineStr">
        <is>
          <t>F-17.1</t>
        </is>
      </c>
      <c r="C32" s="101" t="inlineStr">
        <is>
          <t>Campagnes A/B Test</t>
        </is>
      </c>
      <c r="D32" s="101" t="n">
        <v>2</v>
      </c>
      <c r="E32" s="101" t="n">
        <v>13</v>
      </c>
      <c r="F32" s="103" t="n">
        <v>2</v>
      </c>
      <c r="G32" s="101" t="inlineStr">
        <is>
          <t>Backlog</t>
        </is>
      </c>
      <c r="H32" s="101" t="n"/>
      <c r="I32" s="69" t="inlineStr">
        <is>
          <t>PI-2 (Avr-Jun 2025)</t>
        </is>
      </c>
    </row>
    <row r="33" ht="15" customHeight="1" s="70">
      <c r="A33" s="101" t="inlineStr">
        <is>
          <t>E-12</t>
        </is>
      </c>
      <c r="B33" s="101" t="inlineStr">
        <is>
          <t>F-12.1</t>
        </is>
      </c>
      <c r="C33" s="101" t="inlineStr">
        <is>
          <t>Synchronisation master/slave</t>
        </is>
      </c>
      <c r="D33" s="101" t="n">
        <v>2</v>
      </c>
      <c r="E33" s="101" t="n">
        <v>13</v>
      </c>
      <c r="F33" s="102" t="n">
        <v>1</v>
      </c>
      <c r="G33" s="101" t="inlineStr">
        <is>
          <t>Backlog</t>
        </is>
      </c>
      <c r="H33" s="101" t="n"/>
      <c r="I33" s="69" t="inlineStr">
        <is>
          <t>PI-1 (Jan-Mar 2025)</t>
        </is>
      </c>
    </row>
    <row r="34" ht="15" customHeight="1" s="70">
      <c r="A34" s="101" t="inlineStr">
        <is>
          <t>E-13</t>
        </is>
      </c>
      <c r="B34" s="101" t="inlineStr">
        <is>
          <t>F-13.1</t>
        </is>
      </c>
      <c r="C34" s="101" t="inlineStr">
        <is>
          <t>Thématisation par club</t>
        </is>
      </c>
      <c r="D34" s="101" t="n">
        <v>2</v>
      </c>
      <c r="E34" s="101" t="n">
        <v>8</v>
      </c>
      <c r="F34" s="103" t="n">
        <v>1</v>
      </c>
      <c r="G34" s="101" t="inlineStr">
        <is>
          <t>Backlog</t>
        </is>
      </c>
      <c r="H34" s="101" t="n"/>
      <c r="I34" s="69" t="inlineStr">
        <is>
          <t>PI-1 (Jan-Mar 2025)</t>
        </is>
      </c>
    </row>
    <row r="35" ht="15" customHeight="1" s="70">
      <c r="A35" s="101" t="inlineStr">
        <is>
          <t>E-14</t>
        </is>
      </c>
      <c r="B35" s="101" t="inlineStr">
        <is>
          <t>F-14.1</t>
        </is>
      </c>
      <c r="C35" s="101" t="inlineStr">
        <is>
          <t>Gestion du fonds</t>
        </is>
      </c>
      <c r="D35" s="101" t="n">
        <v>1</v>
      </c>
      <c r="E35" s="101" t="n">
        <v>5</v>
      </c>
      <c r="F35" s="102" t="n">
        <v>2</v>
      </c>
      <c r="G35" s="101" t="inlineStr">
        <is>
          <t>Backlog</t>
        </is>
      </c>
      <c r="H35" s="101" t="n"/>
      <c r="I35" s="69" t="inlineStr">
        <is>
          <t>PI-2 (Avr-Jun 2025)</t>
        </is>
      </c>
    </row>
    <row r="36" ht="15" customHeight="1" s="70">
      <c r="A36" s="101" t="inlineStr">
        <is>
          <t>E-18</t>
        </is>
      </c>
      <c r="B36" s="101" t="inlineStr">
        <is>
          <t>F-18.1</t>
        </is>
      </c>
      <c r="C36" s="101" t="inlineStr">
        <is>
          <t>Audience réelle via billetterie</t>
        </is>
      </c>
      <c r="D36" s="101" t="n">
        <v>1</v>
      </c>
      <c r="E36" s="101" t="n">
        <v>8</v>
      </c>
      <c r="F36" s="103" t="n">
        <v>2</v>
      </c>
      <c r="G36" s="101" t="inlineStr">
        <is>
          <t>Backlog</t>
        </is>
      </c>
      <c r="H36" s="101" t="n"/>
      <c r="I36" s="69" t="inlineStr">
        <is>
          <t>PI-2 (Avr-Jun 2025)</t>
        </is>
      </c>
    </row>
    <row r="37" ht="15" customHeight="1" s="70">
      <c r="A37" s="101" t="inlineStr">
        <is>
          <t>E-19</t>
        </is>
      </c>
      <c r="B37" s="101" t="inlineStr">
        <is>
          <t>F-19.1</t>
        </is>
      </c>
      <c r="C37" s="101" t="inlineStr">
        <is>
          <t>Comptage spectateurs automatique</t>
        </is>
      </c>
      <c r="D37" s="101" t="n">
        <v>1</v>
      </c>
      <c r="E37" s="101" t="n">
        <v>13</v>
      </c>
      <c r="F37" s="102" t="n">
        <v>3</v>
      </c>
      <c r="G37" s="101" t="inlineStr">
        <is>
          <t>Backlog</t>
        </is>
      </c>
      <c r="H37" s="101" t="n"/>
      <c r="I37" s="69" t="inlineStr">
        <is>
          <t>PI-2 (Avr-Jun 2025)</t>
        </is>
      </c>
    </row>
    <row r="38" ht="15" customHeight="1" s="70">
      <c r="A38" s="101" t="inlineStr">
        <is>
          <t>E-20</t>
        </is>
      </c>
      <c r="B38" s="101" t="inlineStr">
        <is>
          <t>F-20.1</t>
        </is>
      </c>
      <c r="C38" s="101" t="inlineStr">
        <is>
          <t>Prédictions engagement et uptime</t>
        </is>
      </c>
      <c r="D38" s="101" t="n">
        <v>1</v>
      </c>
      <c r="E38" s="101" t="n">
        <v>13</v>
      </c>
      <c r="F38" s="103" t="n">
        <v>3</v>
      </c>
      <c r="G38" s="101" t="inlineStr">
        <is>
          <t>Backlog</t>
        </is>
      </c>
      <c r="H38" s="101" t="n"/>
      <c r="I38" s="69" t="inlineStr">
        <is>
          <t>PI-2 (Avr-Jun 2025)</t>
        </is>
      </c>
    </row>
    <row r="39" ht="15" customHeight="1" s="70">
      <c r="A39" s="101" t="inlineStr">
        <is>
          <t>E-21</t>
        </is>
      </c>
      <c r="B39" s="101" t="inlineStr">
        <is>
          <t>F-21.1</t>
        </is>
      </c>
      <c r="C39" s="101" t="inlineStr">
        <is>
          <t>API OAuth 2.0 pour partenaires</t>
        </is>
      </c>
      <c r="D39" s="101" t="n">
        <v>1</v>
      </c>
      <c r="E39" s="101" t="n">
        <v>13</v>
      </c>
      <c r="F39" s="102" t="n">
        <v>3</v>
      </c>
      <c r="G39" s="101" t="inlineStr">
        <is>
          <t>Backlog</t>
        </is>
      </c>
      <c r="H39" s="101" t="n"/>
      <c r="I39" s="69" t="inlineStr">
        <is>
          <t>PI-2 (Avr-Jun 2025)</t>
        </is>
      </c>
    </row>
    <row r="40" ht="15" customHeight="1" s="70">
      <c r="A40" s="101" t="n"/>
      <c r="B40" s="101" t="n"/>
      <c r="C40" s="101" t="n"/>
      <c r="D40" s="101" t="n"/>
      <c r="E40" s="101" t="n"/>
      <c r="F40" s="103" t="n"/>
      <c r="G40" s="101" t="n"/>
      <c r="H40" s="101" t="n"/>
    </row>
    <row r="41" ht="15" customHeight="1" s="70">
      <c r="A41" s="104" t="n"/>
      <c r="B41" s="72" t="n"/>
      <c r="C41" s="72" t="n"/>
      <c r="D41" s="72" t="n"/>
      <c r="E41" s="72" t="n"/>
      <c r="F41" s="72" t="n"/>
      <c r="G41" s="72" t="n"/>
      <c r="H41" s="72" t="n"/>
    </row>
    <row r="42" ht="15" customHeight="1" s="70">
      <c r="A42" s="101" t="n"/>
      <c r="B42" s="101" t="n"/>
      <c r="C42" s="101" t="n"/>
      <c r="D42" s="101" t="n"/>
      <c r="E42" s="101" t="n"/>
      <c r="F42" s="101" t="n"/>
      <c r="G42" s="101" t="n"/>
      <c r="H42" s="101" t="n"/>
    </row>
    <row r="43" ht="15" customHeight="1" s="70">
      <c r="A43" s="101" t="n"/>
      <c r="B43" s="101" t="n"/>
      <c r="C43" s="101" t="n"/>
      <c r="D43" s="101" t="n"/>
      <c r="E43" s="101" t="n"/>
      <c r="F43" s="102" t="n"/>
      <c r="G43" s="101" t="n"/>
      <c r="H43" s="101" t="n"/>
    </row>
    <row r="44" ht="15" customHeight="1" s="70">
      <c r="A44" s="101" t="n"/>
      <c r="B44" s="101" t="n"/>
      <c r="C44" s="101" t="n"/>
      <c r="D44" s="101" t="n"/>
      <c r="E44" s="101" t="n"/>
      <c r="F44" s="103" t="n"/>
      <c r="G44" s="101" t="n"/>
      <c r="H44" s="101" t="n"/>
    </row>
    <row r="45" ht="15" customHeight="1" s="70">
      <c r="A45" s="101" t="n"/>
      <c r="B45" s="101" t="n"/>
      <c r="C45" s="101" t="n"/>
      <c r="D45" s="101" t="n"/>
      <c r="E45" s="101" t="n"/>
      <c r="F45" s="102" t="n"/>
      <c r="G45" s="101" t="n"/>
      <c r="H45" s="101" t="n"/>
    </row>
    <row r="46" ht="15" customHeight="1" s="70">
      <c r="A46" s="101" t="n"/>
      <c r="B46" s="101" t="n"/>
      <c r="C46" s="101" t="n"/>
      <c r="D46" s="101" t="n"/>
      <c r="E46" s="101" t="n"/>
      <c r="F46" s="103" t="n"/>
      <c r="G46" s="101" t="n"/>
      <c r="H46" s="101" t="n"/>
    </row>
    <row r="47" ht="15" customHeight="1" s="70">
      <c r="A47" s="101" t="n"/>
      <c r="B47" s="101" t="n"/>
      <c r="C47" s="101" t="n"/>
      <c r="D47" s="101" t="n"/>
      <c r="E47" s="101" t="n"/>
      <c r="F47" s="102" t="n"/>
      <c r="G47" s="101" t="n"/>
      <c r="H47" s="101" t="n"/>
    </row>
    <row r="48" ht="15" customHeight="1" s="70">
      <c r="A48" s="101" t="n"/>
      <c r="B48" s="101" t="n"/>
      <c r="C48" s="101" t="n"/>
      <c r="D48" s="101" t="n"/>
      <c r="E48" s="101" t="n"/>
      <c r="F48" s="103" t="n"/>
      <c r="G48" s="101" t="n"/>
      <c r="H48" s="101" t="n"/>
    </row>
    <row r="49" ht="15" customHeight="1" s="70">
      <c r="A49" s="101" t="n"/>
      <c r="B49" s="101" t="n"/>
      <c r="C49" s="101" t="n"/>
      <c r="D49" s="101" t="n"/>
      <c r="E49" s="101" t="n"/>
      <c r="F49" s="102" t="n"/>
      <c r="G49" s="101" t="n"/>
      <c r="H49" s="101" t="n"/>
    </row>
    <row r="50" ht="15" customHeight="1" s="70">
      <c r="A50" s="101" t="n"/>
      <c r="B50" s="101" t="n"/>
      <c r="C50" s="101" t="n"/>
      <c r="D50" s="101" t="n"/>
      <c r="E50" s="101" t="n"/>
      <c r="F50" s="103" t="n"/>
      <c r="G50" s="101" t="n"/>
      <c r="H50" s="101" t="n"/>
    </row>
    <row r="51" ht="15" customHeight="1" s="70">
      <c r="A51" s="101" t="n"/>
      <c r="B51" s="101" t="n"/>
      <c r="C51" s="101" t="n"/>
      <c r="D51" s="101" t="n"/>
      <c r="E51" s="101" t="n"/>
      <c r="F51" s="102" t="n"/>
      <c r="G51" s="101" t="n"/>
      <c r="H51" s="101" t="n"/>
    </row>
    <row r="52" ht="15" customHeight="1" s="70">
      <c r="A52" s="101" t="n"/>
      <c r="B52" s="101" t="n"/>
      <c r="C52" s="101" t="n"/>
      <c r="D52" s="101" t="n"/>
      <c r="E52" s="101" t="n"/>
      <c r="F52" s="102" t="n"/>
      <c r="G52" s="101" t="n"/>
      <c r="H52" s="101" t="n"/>
    </row>
    <row r="53" ht="15" customHeight="1" s="70">
      <c r="A53" s="101" t="n"/>
      <c r="B53" s="101" t="n"/>
      <c r="C53" s="101" t="n"/>
      <c r="D53" s="101" t="n"/>
      <c r="E53" s="101" t="n"/>
      <c r="F53" s="102" t="n"/>
      <c r="G53" s="101" t="n"/>
      <c r="H53" s="101" t="n"/>
    </row>
    <row r="54" ht="15" customHeight="1" s="70">
      <c r="A54" s="72" t="n"/>
      <c r="B54" s="72" t="n"/>
      <c r="C54" s="72" t="n"/>
      <c r="D54" s="72" t="n"/>
      <c r="E54" s="72" t="n"/>
      <c r="F54" s="72" t="n"/>
      <c r="G54" s="72" t="n"/>
      <c r="H54" s="72" t="n"/>
    </row>
    <row r="55" ht="15" customHeight="1" s="70">
      <c r="A55" s="82" t="inlineStr">
        <is>
          <t>NEOPRO_SAFe_Portfolio.xlsx</t>
        </is>
      </c>
      <c r="B55" s="82" t="inlineStr">
        <is>
          <t>NEOPRO_SAFe_Portfolio.xlsx</t>
        </is>
      </c>
      <c r="C55" s="82" t="inlineStr">
        <is>
          <t>NEOPRO_SAFe_Portfolio.xlsx</t>
        </is>
      </c>
      <c r="D55" s="72" t="n"/>
      <c r="E55" s="72" t="n"/>
      <c r="F55" s="72" t="n"/>
      <c r="G55" s="72" t="n"/>
      <c r="H55" s="72" t="n"/>
      <c r="I55" s="69" t="inlineStr">
        <is>
          <t>PI-2 (Avr-Jun 2025)</t>
        </is>
      </c>
    </row>
    <row r="57" ht="15" customHeight="1" s="70">
      <c r="A57" s="106" t="inlineStr">
        <is>
          <t>SUMMARY</t>
        </is>
      </c>
      <c r="I57" s="69" t="inlineStr">
        <is>
          <t>PI-2 (Avr-Jun 2025)</t>
        </is>
      </c>
    </row>
    <row r="58" ht="15" customHeight="1" s="70">
      <c r="A58" s="69" t="inlineStr">
        <is>
          <t>Total SP PI-1</t>
        </is>
      </c>
      <c r="E58" s="69">
        <f>SUMIF(I:I,"PI-1",E:E)</f>
        <v/>
      </c>
      <c r="I58" s="69" t="inlineStr">
        <is>
          <t>PI-2 (Avr-Jun 2025)</t>
        </is>
      </c>
    </row>
    <row r="59" ht="15" customHeight="1" s="70">
      <c r="A59" s="69" t="inlineStr">
        <is>
          <t>Total SP PI-2</t>
        </is>
      </c>
      <c r="E59" s="69">
        <f>SUMIF(I:I,"PI-2",E:E)</f>
        <v/>
      </c>
      <c r="I59" s="69" t="inlineStr">
        <is>
          <t>PI-2 (Avr-Jun 2025)</t>
        </is>
      </c>
    </row>
    <row r="60" ht="15" customHeight="1" s="70">
      <c r="A60" s="69" t="inlineStr">
        <is>
          <t>Total SP PI-3</t>
        </is>
      </c>
      <c r="E60" s="69">
        <f>SUMIF(I:I,"PI-3",E:E)</f>
        <v/>
      </c>
      <c r="I60" s="69" t="inlineStr">
        <is>
          <t>PI-2 (Avr-Jun 2025)</t>
        </is>
      </c>
    </row>
    <row r="62" ht="15" customHeight="1" s="70">
      <c r="A62" s="69" t="inlineStr">
        <is>
          <t>Status Count</t>
        </is>
      </c>
      <c r="I62" s="69" t="inlineStr">
        <is>
          <t>PI-2 (Avr-Jun 2025)</t>
        </is>
      </c>
    </row>
    <row r="63" ht="15" customHeight="1" s="70">
      <c r="A63" s="69" t="inlineStr">
        <is>
          <t>Terminé</t>
        </is>
      </c>
      <c r="B63" s="69">
        <f>COUNTIF(G:G,"Terminé")</f>
        <v/>
      </c>
      <c r="I63" s="69" t="inlineStr">
        <is>
          <t>PI-2 (Avr-Jun 2025)</t>
        </is>
      </c>
    </row>
    <row r="64" ht="15" customHeight="1" s="70">
      <c r="A64" s="69" t="inlineStr">
        <is>
          <t>Backlog</t>
        </is>
      </c>
      <c r="B64" s="69">
        <f>COUNTIF(G:G,"Backlog")</f>
        <v/>
      </c>
      <c r="I64" s="69" t="inlineStr">
        <is>
          <t>PI-2 (Avr-Jun 2025)</t>
        </is>
      </c>
    </row>
    <row r="65" ht="15" customHeight="1" s="70">
      <c r="A65" s="69" t="inlineStr">
        <is>
          <t>En cours</t>
        </is>
      </c>
      <c r="B65" s="69">
        <f>COUNTIF(G:G,"En cours")</f>
        <v/>
      </c>
      <c r="I65" s="69" t="inlineStr">
        <is>
          <t>PI-2 (Avr-Jun 2025)</t>
        </is>
      </c>
    </row>
    <row r="68">
      <c r="A68" s="137" t="inlineStr">
        <is>
          <t>STORY POINTS SUMMARY BY PI</t>
        </is>
      </c>
    </row>
    <row r="70">
      <c r="A70" s="138" t="inlineStr">
        <is>
          <t>PI</t>
        </is>
      </c>
      <c r="B70" s="138" t="inlineStr">
        <is>
          <t>Story Points</t>
        </is>
      </c>
    </row>
    <row r="71">
      <c r="A71" s="69" t="inlineStr">
        <is>
          <t>PI-1 (Jan-Mar 2025)</t>
        </is>
      </c>
      <c r="B71" s="139">
        <f>SUMIF($I$5:$I$65,"PI-1 (Jan-Mar 2025)",$E$5:$E$65)</f>
        <v/>
      </c>
    </row>
    <row r="72">
      <c r="A72" s="69" t="inlineStr">
        <is>
          <t>PI-2 (Avr-Jun 2025)</t>
        </is>
      </c>
      <c r="B72" s="139">
        <f>SUMIF($I$5:$I$65,"PI-2 (Avr-Jun 2025)",$E$5:$E$65)</f>
        <v/>
      </c>
    </row>
    <row r="73">
      <c r="A73" s="69" t="inlineStr">
        <is>
          <t>PI-3 (Jul-Sep 2025)</t>
        </is>
      </c>
      <c r="B73" s="139">
        <f>SUMIF($I$5:$I$65,"PI-3 (Jul-Sep 2025)",$E$5:$E$65)</f>
        <v/>
      </c>
    </row>
  </sheetData>
  <mergeCells count="2">
    <mergeCell ref="A3:H3"/>
    <mergeCell ref="A1:H1"/>
  </mergeCells>
  <dataValidations count="5">
    <dataValidation sqref="G4:G55" showDropDown="1" showInputMessage="0" showErrorMessage="0" allowBlank="1" errorTitle="Entrée invalide" error="Sélectionner une valeur valide" type="list" errorStyle="stop" operator="between">
      <formula1>"Backlog,En cours,Terminé,Livré"</formula1>
      <formula2>0</formula2>
    </dataValidation>
    <dataValidation sqref="I5:I55" showDropDown="0" showInputMessage="0" showErrorMessage="0" allowBlank="1" type="list" errorStyle="stop" operator="between">
      <formula1>"PI-1,PI-2,PI-3"</formula1>
      <formula2>0</formula2>
    </dataValidation>
    <dataValidation sqref="J5:J55" showDropDown="0" showInputMessage="0" showErrorMessage="0" allowBlank="1" type="list" errorStyle="stop" operator="between">
      <formula1>"Sprint 1,Sprint 2,Sprint 3"</formula1>
      <formula2>0</formula2>
    </dataValidation>
    <dataValidation sqref="I5 I6 I7 I8 I9 I10 I11 I12 I13 I14 I15 I16 I17 I18 I19 I20 I21 I22 I23 I24 I25 I26 I27 I28 I29 I30 I31 I32 I33 I34 I35 I36 I37 I38 I39 I55 I57 I58 I59 I60 I62 I63 I64 I65" showDropDown="0" showInputMessage="0" showErrorMessage="0" allowBlank="1" errorTitle="Invalid Input" error="Please select a valid PI" promptTitle="Program Increment" prompt="Select: PI-1, PI-2, or PI-3" type="list">
      <formula1>"PI-1 (Jan-Mar 2025),PI-2 (Avr-Jun 2025),PI-3 (Jul-Sep 2025)"</formula1>
    </dataValidation>
    <dataValidation sqref="J5 J6 J7 J8 J9 J10 J11 J12 J13 J14 J15 J16 J17 J18 J19 J20 J21 J22 J23 J24 J25 J26 J27 J28 J29 J30 J31 J32 J33 J34 J35 J36 J37 J38 J39 J55 J57 J58 J59 J60 J62 J63 J64 J65" showDropDown="0" showInputMessage="0" showErrorMessage="0" allowBlank="1" errorTitle="Invalid Input" error="Please select a valid Sprint" promptTitle="Sprint" prompt="Select: S1 through S6" type="list">
      <formula1>"S1,S2,S3,S4,S5,S6"</formula1>
    </dataValidation>
  </dataValidations>
  <hyperlinks>
    <hyperlink xmlns:r="http://schemas.openxmlformats.org/officeDocument/2006/relationships" ref="A1" location="Dashboard!A1" display="← Dashboard | ← Dashboard" r:id="rId1"/>
    <hyperlink xmlns:r="http://schemas.openxmlformats.org/officeDocument/2006/relationships" ref="A55" location="Dashboard!A1" display="NEOPRO_SAFe_Portfolio.xlsx" r:id="rId2"/>
    <hyperlink xmlns:r="http://schemas.openxmlformats.org/officeDocument/2006/relationships" ref="B55" location="'Epics%20&amp;%20LBC'!A1" display="NEOPRO_SAFe_Portfolio.xlsx" r:id="rId3"/>
    <hyperlink xmlns:r="http://schemas.openxmlformats.org/officeDocument/2006/relationships" ref="C55" location="'Sprint%20Tracker'!A1" display="NEOPRO_SAFe_Portfolio.xlsx" r:id="rId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69" min="1" max="1"/>
    <col width="30" customWidth="1" style="69" min="2" max="2"/>
    <col width="15" customWidth="1" style="69" min="3" max="4"/>
    <col width="30" customWidth="1" style="69" min="5" max="5"/>
  </cols>
  <sheetData>
    <row r="1" ht="15" customHeight="1" s="70">
      <c r="A1" s="78" t="inlineStr">
        <is>
          <t>← Dashboard | ← Dashboard</t>
        </is>
      </c>
    </row>
    <row r="2" ht="15" customHeight="1" s="70">
      <c r="A2" s="72" t="n"/>
      <c r="B2" s="72" t="n"/>
      <c r="C2" s="72" t="n"/>
      <c r="D2" s="72" t="n"/>
      <c r="E2" s="72" t="n"/>
    </row>
    <row r="3" ht="15" customHeight="1" s="70">
      <c r="A3" s="76" t="inlineStr">
        <is>
          <t>BV Summary</t>
        </is>
      </c>
      <c r="B3" s="72" t="n"/>
      <c r="C3" s="72" t="n"/>
      <c r="D3" s="72" t="n"/>
      <c r="E3" s="72" t="n"/>
    </row>
    <row r="4" ht="15" customHeight="1" s="70">
      <c r="A4" s="80" t="inlineStr">
        <is>
          <t>COMMITTED OBJECTIVES (PI-1)</t>
        </is>
      </c>
      <c r="B4" s="80">
        <f>SUMIF('PI Objectives'!E:E,"Engagé",'PI Objectives'!D:D)</f>
        <v/>
      </c>
      <c r="C4" s="80" t="inlineStr">
        <is>
          <t>Business Value</t>
        </is>
      </c>
      <c r="D4" s="80" t="inlineStr">
        <is>
          <t>Status</t>
        </is>
      </c>
      <c r="E4" s="80" t="inlineStr">
        <is>
          <t>Notes</t>
        </is>
      </c>
    </row>
    <row r="5" ht="15" customHeight="1" s="70">
      <c r="A5" s="84" t="inlineStr">
        <is>
          <t>Objective</t>
        </is>
      </c>
      <c r="B5" s="84" t="inlineStr">
        <is>
          <t>Description</t>
        </is>
      </c>
      <c r="C5" s="84" t="inlineStr">
        <is>
          <t>Business Value</t>
        </is>
      </c>
      <c r="D5" s="84" t="inlineStr">
        <is>
          <t>Status</t>
        </is>
      </c>
      <c r="E5" s="84" t="inlineStr">
        <is>
          <t>Notes</t>
        </is>
      </c>
    </row>
    <row r="6" ht="15" customHeight="1" s="70">
      <c r="A6" s="84" t="inlineStr">
        <is>
          <t>O-PI1-1</t>
        </is>
      </c>
      <c r="B6" s="84" t="inlineStr">
        <is>
          <t>Lancer le portail sponsor self-service</t>
        </is>
      </c>
      <c r="C6" s="84" t="n">
        <v>9</v>
      </c>
      <c r="D6" s="84" t="inlineStr">
        <is>
          <t>Backlog</t>
        </is>
      </c>
      <c r="E6" s="84" t="inlineStr">
        <is>
          <t>E-01: F-01.1, F-01.2, F-01.3 — 19 SP</t>
        </is>
      </c>
    </row>
    <row r="7" ht="15" customHeight="1" s="70">
      <c r="A7" s="84" t="inlineStr">
        <is>
          <t>O-PI1-2</t>
        </is>
      </c>
      <c r="B7" s="84" t="inlineStr">
        <is>
          <t>Livrer les analytics sponsors avec rapport PDF</t>
        </is>
      </c>
      <c r="C7" s="84" t="n">
        <v>10</v>
      </c>
      <c r="D7" s="84" t="inlineStr">
        <is>
          <t>Backlog</t>
        </is>
      </c>
      <c r="E7" s="84" t="inlineStr">
        <is>
          <t>E-03: F-03.1, F-03.2, F-03.3 — 23 SP</t>
        </is>
      </c>
    </row>
    <row r="8" ht="15" customHeight="1" s="70">
      <c r="A8" s="84" t="inlineStr">
        <is>
          <t>O-PI1-3</t>
        </is>
      </c>
      <c r="B8" s="84" t="inlineStr">
        <is>
          <t>Implémenter la rotation sponsor équitable</t>
        </is>
      </c>
      <c r="C8" s="84" t="n">
        <v>8</v>
      </c>
      <c r="D8" s="84" t="inlineStr">
        <is>
          <t>Backlog</t>
        </is>
      </c>
      <c r="E8" s="84" t="inlineStr">
        <is>
          <t>E-02: F-02.1, F-02.2 — 11 SP</t>
        </is>
      </c>
    </row>
    <row r="9" ht="15" customHeight="1" s="70">
      <c r="A9" s="84" t="inlineStr">
        <is>
          <t>O-PI1-4</t>
        </is>
      </c>
      <c r="B9" s="84" t="inlineStr">
        <is>
          <t>Créer le wizard onboarding club</t>
        </is>
      </c>
      <c r="C9" s="84" t="n">
        <v>10</v>
      </c>
      <c r="D9" s="84" t="inlineStr">
        <is>
          <t>Backlog</t>
        </is>
      </c>
      <c r="E9" s="84" t="inlineStr">
        <is>
          <t>E-06: F-06.1, F-06.2 — 18 SP</t>
        </is>
      </c>
    </row>
    <row r="10" ht="15" customHeight="1" s="70">
      <c r="A10" s="72" t="inlineStr">
        <is>
          <t>EXTENDED GOALS</t>
        </is>
      </c>
      <c r="B10" s="72" t="n"/>
      <c r="C10" s="72" t="n"/>
      <c r="D10" s="72" t="n"/>
      <c r="E10" s="72" t="n"/>
    </row>
    <row r="11" ht="15" customHeight="1" s="70">
      <c r="A11" s="77" t="inlineStr">
        <is>
          <t>Objective</t>
        </is>
      </c>
      <c r="B11" s="72" t="inlineStr">
        <is>
          <t>Description</t>
        </is>
      </c>
      <c r="C11" s="72" t="inlineStr">
        <is>
          <t>Business Value</t>
        </is>
      </c>
      <c r="D11" s="72" t="inlineStr">
        <is>
          <t>Status</t>
        </is>
      </c>
      <c r="E11" s="72" t="inlineStr">
        <is>
          <t>Notes</t>
        </is>
      </c>
    </row>
    <row r="12" ht="15" customHeight="1" s="70">
      <c r="A12" s="80" t="inlineStr">
        <is>
          <t>O-PI1-5</t>
        </is>
      </c>
      <c r="B12" s="80" t="inlineStr">
        <is>
          <t>Carte de la flotte Leaflet</t>
        </is>
      </c>
      <c r="C12" s="80" t="n">
        <v>4</v>
      </c>
      <c r="D12" s="80" t="inlineStr">
        <is>
          <t>Backlog</t>
        </is>
      </c>
      <c r="E12" s="80" t="inlineStr">
        <is>
          <t>E-10.1 — 5 SP</t>
        </is>
      </c>
    </row>
    <row r="13" ht="15" customHeight="1" s="70">
      <c r="A13" s="84" t="inlineStr">
        <is>
          <t>O-PI1-6</t>
        </is>
      </c>
      <c r="B13" s="84" t="inlineStr">
        <is>
          <t>Support clé USB WiFi externe</t>
        </is>
      </c>
      <c r="C13" s="84" t="n">
        <v>3</v>
      </c>
      <c r="D13" s="84" t="inlineStr">
        <is>
          <t>Backlog</t>
        </is>
      </c>
      <c r="E13" s="84" t="inlineStr">
        <is>
          <t>E-07.3 — 3 SP</t>
        </is>
      </c>
    </row>
    <row r="14" ht="15" customHeight="1" s="70">
      <c r="A14" s="84" t="inlineStr">
        <is>
          <t>O-PI2-2</t>
        </is>
      </c>
      <c r="B14" s="84" t="inlineStr">
        <is>
          <t>Dynamic Ad Serving</t>
        </is>
      </c>
      <c r="C14" s="84" t="n">
        <v>8</v>
      </c>
      <c r="D14" s="84" t="inlineStr">
        <is>
          <t>In Progress</t>
        </is>
      </c>
      <c r="E14" s="84" t="inlineStr">
        <is>
          <t>E-11 sprint 2-3</t>
        </is>
      </c>
    </row>
    <row r="15" ht="15" customHeight="1" s="70">
      <c r="A15" s="84" t="inlineStr">
        <is>
          <t>O-PI2-3</t>
        </is>
      </c>
      <c r="B15" s="84" t="inlineStr">
        <is>
          <t>Email Marketing Platform</t>
        </is>
      </c>
      <c r="C15" s="84" t="n">
        <v>7</v>
      </c>
      <c r="D15" s="84" t="inlineStr">
        <is>
          <t>Backlog</t>
        </is>
      </c>
      <c r="E15" s="84" t="inlineStr">
        <is>
          <t>E-15 sprint 2</t>
        </is>
      </c>
    </row>
    <row r="16" ht="15" customHeight="1" s="70">
      <c r="A16" s="84" t="inlineStr">
        <is>
          <t>O-PI2-4</t>
        </is>
      </c>
      <c r="B16" s="84" t="inlineStr">
        <is>
          <t>Influencer Scoring Ready</t>
        </is>
      </c>
      <c r="C16" s="84" t="n">
        <v>6</v>
      </c>
      <c r="D16" s="84" t="inlineStr">
        <is>
          <t>Backlog</t>
        </is>
      </c>
      <c r="E16" s="84" t="inlineStr">
        <is>
          <t>E-16 + E-17 sprint 3</t>
        </is>
      </c>
    </row>
    <row r="17" ht="15" customHeight="1" s="70">
      <c r="A17" s="72" t="n"/>
      <c r="B17" s="72" t="n"/>
      <c r="C17" s="72" t="n"/>
      <c r="D17" s="72" t="n"/>
      <c r="E17" s="72" t="n"/>
    </row>
    <row r="18" ht="15" customHeight="1" s="70">
      <c r="A18" s="77" t="inlineStr">
        <is>
          <t>STRETCH GOALS</t>
        </is>
      </c>
      <c r="B18" s="72" t="n"/>
      <c r="C18" s="72" t="n"/>
      <c r="D18" s="72" t="n"/>
      <c r="E18" s="72" t="n"/>
    </row>
    <row r="19" ht="15" customHeight="1" s="70">
      <c r="A19" s="80" t="inlineStr">
        <is>
          <t>Objective</t>
        </is>
      </c>
      <c r="B19" s="80" t="inlineStr">
        <is>
          <t>Business Value</t>
        </is>
      </c>
      <c r="C19" s="72" t="n"/>
      <c r="D19" s="72" t="n"/>
      <c r="E19" s="72" t="n"/>
    </row>
    <row r="20" ht="15" customHeight="1" s="70">
      <c r="A20" s="84" t="inlineStr">
        <is>
          <t>Advanced Analytics ML</t>
        </is>
      </c>
      <c r="B20" s="84" t="n">
        <v>4</v>
      </c>
      <c r="C20" s="72" t="n"/>
      <c r="D20" s="72" t="n"/>
      <c r="E20" s="72" t="n"/>
    </row>
    <row r="21" ht="15" customHeight="1" s="70">
      <c r="A21" s="84" t="inlineStr">
        <is>
          <t>International Expansion Draft</t>
        </is>
      </c>
      <c r="B21" s="84" t="n">
        <v>3</v>
      </c>
      <c r="C21" s="72" t="n"/>
      <c r="D21" s="72" t="n"/>
      <c r="E21" s="72" t="n"/>
    </row>
    <row r="22" ht="15" customHeight="1" s="70">
      <c r="A22" s="72" t="n"/>
      <c r="B22" s="72" t="n"/>
      <c r="C22" s="72" t="n"/>
      <c r="D22" s="72" t="n"/>
      <c r="E22" s="72" t="n"/>
    </row>
    <row r="23" ht="15" customHeight="1" s="70">
      <c r="A23" s="107" t="inlineStr">
        <is>
          <t>PI Summary</t>
        </is>
      </c>
      <c r="B23" s="72" t="n"/>
      <c r="C23" s="72" t="n"/>
      <c r="D23" s="72" t="n"/>
      <c r="E23" s="72" t="n"/>
    </row>
    <row r="24" ht="15" customHeight="1" s="70">
      <c r="A24" s="72" t="inlineStr">
        <is>
          <t>Total Committed BV</t>
        </is>
      </c>
      <c r="B24" s="108">
        <f>SUM(C12:C15)</f>
        <v/>
      </c>
      <c r="C24" s="72" t="n"/>
      <c r="D24" s="72" t="n"/>
      <c r="E24" s="72" t="n"/>
    </row>
    <row r="25" ht="15" customHeight="1" s="70">
      <c r="A25" s="72" t="inlineStr">
        <is>
          <t>Total Stretch BV</t>
        </is>
      </c>
      <c r="B25" s="108">
        <f>SUM(C19:C20)</f>
        <v/>
      </c>
      <c r="C25" s="72" t="n"/>
      <c r="D25" s="72" t="n"/>
      <c r="E25" s="72" t="n"/>
    </row>
    <row r="26" ht="15" customHeight="1" s="70">
      <c r="A26" s="72" t="inlineStr">
        <is>
          <t>Predictability (Committed vs Done)</t>
        </is>
      </c>
      <c r="B26" s="109">
        <f>B24/(B24+B25)</f>
        <v/>
      </c>
      <c r="C26" s="72" t="n"/>
      <c r="D26" s="72" t="n"/>
      <c r="E26" s="72" t="n"/>
    </row>
  </sheetData>
  <mergeCells count="1">
    <mergeCell ref="A1:E1"/>
  </mergeCells>
  <dataValidations count="2">
    <dataValidation sqref="E5:E26" showDropDown="1" showInputMessage="0" showErrorMessage="0" allowBlank="1" errorTitle="Entrée invalide" error="Sélectionner une valeur valide" type="list" errorStyle="stop" operator="between">
      <formula1>"Engagé,Étendu"</formula1>
      <formula2>0</formula2>
    </dataValidation>
    <dataValidation sqref="D5:D26" showDropDown="1" showInputMessage="0" showErrorMessage="0" allowBlank="1" errorTitle="Entrée invalide" error="Sélectionner une valeur valide" type="list" errorStyle="stop" operator="between">
      <formula1>"Atteint,En cours,Manqué,Reporté"</formula1>
      <formula2>0</formula2>
    </dataValidation>
  </dataValidations>
  <hyperlinks>
    <hyperlink xmlns:r="http://schemas.openxmlformats.org/officeDocument/2006/relationships" ref="A1" location="Dashboard!A1" display="← Dashboard | ← Dashboard"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0" customWidth="1" style="69" min="1" max="3"/>
    <col width="15" customWidth="1" style="69" min="4" max="5"/>
    <col width="25" customWidth="1" style="69" min="6" max="6"/>
  </cols>
  <sheetData>
    <row r="1" ht="15" customHeight="1" s="70">
      <c r="A1" s="78" t="inlineStr">
        <is>
          <t>← Dashboard | ← Dashboard</t>
        </is>
      </c>
      <c r="G1" s="72" t="n"/>
    </row>
    <row r="2" ht="15" customHeight="1" s="70">
      <c r="A2" s="72" t="n"/>
      <c r="B2" s="72" t="n"/>
      <c r="C2" s="72" t="n"/>
      <c r="D2" s="72" t="n"/>
      <c r="E2" s="72" t="n"/>
      <c r="F2" s="72" t="n"/>
      <c r="G2" s="72" t="n"/>
    </row>
    <row r="3" ht="15" customHeight="1" s="70">
      <c r="A3" s="80" t="inlineStr">
        <is>
          <t>S1</t>
        </is>
      </c>
      <c r="B3" s="72" t="inlineStr">
        <is>
          <t>PI</t>
        </is>
      </c>
      <c r="C3" s="80">
        <f>SUMIF('Features &amp; US'!J:J,"S1",'Features &amp; US'!E:E)</f>
        <v/>
      </c>
      <c r="D3" s="80" t="n">
        <v>24</v>
      </c>
      <c r="E3" s="80" t="n">
        <v>3</v>
      </c>
      <c r="F3" s="110">
        <f>IFERROR(D3/C3,0)</f>
        <v/>
      </c>
      <c r="G3" s="80" t="inlineStr">
        <is>
          <t>First sprint, onboarding</t>
        </is>
      </c>
    </row>
    <row r="4" ht="15" customHeight="1" s="70">
      <c r="A4" s="84" t="inlineStr">
        <is>
          <t>S2</t>
        </is>
      </c>
      <c r="B4" s="72" t="n"/>
      <c r="C4" s="84">
        <f>SUMIF('Features &amp; US'!J:J,"S2",'Features &amp; US'!E:E)</f>
        <v/>
      </c>
      <c r="D4" s="84" t="n">
        <v>27</v>
      </c>
      <c r="E4" s="84" t="n">
        <v>0</v>
      </c>
      <c r="F4" s="111">
        <f>IFERROR(D4/C4,0)</f>
        <v/>
      </c>
      <c r="G4" s="84" t="inlineStr">
        <is>
          <t>Peak velocity</t>
        </is>
      </c>
    </row>
    <row r="5" ht="15" customHeight="1" s="70">
      <c r="A5" s="84" t="inlineStr">
        <is>
          <t>S3</t>
        </is>
      </c>
      <c r="B5" s="72" t="n"/>
      <c r="C5" s="84">
        <f>SUMIF('Features &amp; US'!J:J,"S3",'Features &amp; US'!E:E)</f>
        <v/>
      </c>
      <c r="D5" s="84" t="n">
        <v>25</v>
      </c>
      <c r="E5" s="84" t="n">
        <v>0</v>
      </c>
      <c r="F5" s="111">
        <f>IFERROR(D5/C5,0)</f>
        <v/>
      </c>
      <c r="G5" s="84" t="inlineStr">
        <is>
          <t>Stable performance</t>
        </is>
      </c>
    </row>
    <row r="6" ht="15" customHeight="1" s="70">
      <c r="A6" s="84" t="inlineStr">
        <is>
          <t>S4</t>
        </is>
      </c>
      <c r="B6" s="72" t="n"/>
      <c r="C6" s="84">
        <f>SUMIF('Features &amp; US'!J:J,"S4",'Features &amp; US'!E:E)</f>
        <v/>
      </c>
      <c r="D6" s="84" t="n">
        <v>25</v>
      </c>
      <c r="E6" s="84" t="n">
        <v>0</v>
      </c>
      <c r="F6" s="111">
        <f>IFERROR(D6/C6,0)</f>
        <v/>
      </c>
      <c r="G6" s="84" t="inlineStr">
        <is>
          <t>Stable performance</t>
        </is>
      </c>
    </row>
    <row r="7" ht="15" customHeight="1" s="70">
      <c r="A7" s="72" t="inlineStr">
        <is>
          <t>S5</t>
        </is>
      </c>
      <c r="B7" s="72" t="n"/>
      <c r="C7" s="72">
        <f>SUMIF('Features &amp; US'!J:J,"S5",'Features &amp; US'!E:E)</f>
        <v/>
      </c>
      <c r="D7" s="72" t="n"/>
      <c r="E7" s="72" t="n"/>
      <c r="F7" s="72" t="n"/>
      <c r="G7" s="72" t="n"/>
    </row>
    <row r="8" ht="15" customHeight="1" s="70">
      <c r="A8" s="72" t="inlineStr">
        <is>
          <t>S6</t>
        </is>
      </c>
      <c r="B8" s="72" t="n"/>
      <c r="C8" s="72">
        <f>SUMIF('Features &amp; US'!J:J,"S6",'Features &amp; US'!E:E)</f>
        <v/>
      </c>
      <c r="D8" s="72" t="n"/>
      <c r="E8" s="72" t="n"/>
      <c r="F8" s="72" t="n"/>
      <c r="G8" s="72" t="n"/>
    </row>
    <row r="9" ht="15" customHeight="1" s="70">
      <c r="A9" s="72" t="n"/>
      <c r="B9" s="72" t="n"/>
      <c r="C9" s="72" t="n"/>
      <c r="D9" s="72" t="n"/>
      <c r="E9" s="72" t="n"/>
      <c r="F9" s="72" t="n"/>
      <c r="G9" s="72" t="n"/>
    </row>
    <row r="10" ht="15" customHeight="1" s="70">
      <c r="A10" s="72" t="n"/>
      <c r="B10" s="72" t="n"/>
      <c r="C10" s="72" t="n"/>
      <c r="D10" s="72" t="n"/>
      <c r="E10" s="72" t="n"/>
      <c r="F10" s="72" t="n"/>
      <c r="G10" s="72" t="n"/>
    </row>
    <row r="11" ht="15" customHeight="1" s="70">
      <c r="A11" s="72" t="n"/>
      <c r="B11" s="72" t="n"/>
      <c r="C11" s="72" t="n"/>
      <c r="D11" s="72" t="n"/>
      <c r="E11" s="72" t="n"/>
      <c r="F11" s="72" t="n"/>
      <c r="G11" s="72" t="n"/>
    </row>
    <row r="12" ht="15" customHeight="1" s="70">
      <c r="A12" s="72" t="n"/>
      <c r="B12" s="72" t="n"/>
      <c r="C12" s="72" t="n"/>
      <c r="D12" s="72" t="n"/>
      <c r="E12" s="72" t="n"/>
      <c r="F12" s="72" t="n"/>
      <c r="G12" s="72" t="n"/>
    </row>
    <row r="13" ht="15" customHeight="1" s="70">
      <c r="A13" s="72" t="n"/>
      <c r="B13" s="72" t="n"/>
      <c r="C13" s="72" t="n"/>
      <c r="D13" s="72" t="n"/>
      <c r="E13" s="72" t="n"/>
      <c r="F13" s="72" t="n"/>
      <c r="G13" s="72" t="n"/>
    </row>
    <row r="14" ht="15" customHeight="1" s="70">
      <c r="A14" s="72" t="n"/>
      <c r="B14" s="72" t="n"/>
      <c r="C14" s="72" t="n"/>
      <c r="D14" s="72" t="n"/>
      <c r="E14" s="72" t="n"/>
      <c r="F14" s="72" t="n"/>
      <c r="G14" s="72" t="n"/>
    </row>
    <row r="15" ht="15" customHeight="1" s="70">
      <c r="A15" s="72" t="n"/>
      <c r="B15" s="72" t="n"/>
      <c r="C15" s="72" t="n"/>
      <c r="D15" s="72" t="n"/>
      <c r="E15" s="72" t="n"/>
      <c r="F15" s="72" t="n"/>
      <c r="G15" s="72" t="n"/>
    </row>
    <row r="16" ht="15" customHeight="1" s="70">
      <c r="A16" s="72" t="n"/>
      <c r="B16" s="72" t="n"/>
      <c r="C16" s="72" t="n"/>
      <c r="D16" s="72" t="n"/>
      <c r="E16" s="72" t="n"/>
      <c r="F16" s="72" t="n"/>
      <c r="G16" s="72" t="n"/>
    </row>
    <row r="17" ht="15" customHeight="1" s="70">
      <c r="A17" s="72" t="n"/>
      <c r="B17" s="72" t="n"/>
      <c r="C17" s="72" t="n"/>
      <c r="D17" s="72" t="n"/>
      <c r="E17" s="72" t="n"/>
      <c r="F17" s="72" t="n"/>
      <c r="G17" s="72" t="n"/>
    </row>
    <row r="18" ht="15" customHeight="1" s="70">
      <c r="A18" s="72" t="n"/>
      <c r="B18" s="72" t="n"/>
      <c r="C18" s="72" t="n"/>
      <c r="D18" s="72" t="n"/>
      <c r="E18" s="72" t="n"/>
      <c r="F18" s="72" t="n"/>
      <c r="G18" s="72" t="n"/>
    </row>
    <row r="19" ht="15" customHeight="1" s="70">
      <c r="A19" s="72" t="n"/>
      <c r="B19" s="72" t="n"/>
      <c r="C19" s="72" t="n"/>
      <c r="D19" s="72" t="n"/>
      <c r="E19" s="72" t="n"/>
      <c r="F19" s="72" t="n"/>
      <c r="G19" s="72" t="n"/>
    </row>
    <row r="20" ht="15" customHeight="1" s="70">
      <c r="A20" s="107" t="inlineStr">
        <is>
          <t>Team Capacity</t>
        </is>
      </c>
      <c r="B20" s="72" t="n"/>
      <c r="C20" s="72" t="n"/>
      <c r="D20" s="72" t="n"/>
      <c r="E20" s="72" t="n"/>
      <c r="F20" s="72" t="n"/>
      <c r="G20" s="72" t="n"/>
    </row>
    <row r="21" ht="15" customHeight="1" s="70">
      <c r="A21" s="80" t="inlineStr">
        <is>
          <t>Team Member</t>
        </is>
      </c>
      <c r="B21" s="72" t="n"/>
      <c r="C21" s="80" t="inlineStr">
        <is>
          <t>Capacity (SP/sprint)</t>
        </is>
      </c>
      <c r="D21" s="80" t="inlineStr">
        <is>
          <t>Specialty</t>
        </is>
      </c>
      <c r="E21" s="72" t="n"/>
      <c r="F21" s="72" t="n"/>
      <c r="G21" s="72" t="n"/>
    </row>
    <row r="22" ht="15" customHeight="1" s="70">
      <c r="A22" s="84" t="inlineStr">
        <is>
          <t>Dev Lead</t>
        </is>
      </c>
      <c r="B22" s="72" t="n"/>
      <c r="C22" s="84" t="n">
        <v>8</v>
      </c>
      <c r="D22" s="84" t="inlineStr">
        <is>
          <t>Backend/Architecture</t>
        </is>
      </c>
      <c r="E22" s="72" t="n"/>
      <c r="F22" s="72" t="n"/>
      <c r="G22" s="72" t="n"/>
    </row>
    <row r="23" ht="15" customHeight="1" s="70">
      <c r="A23" s="84" t="inlineStr">
        <is>
          <t>Frontend Dev</t>
        </is>
      </c>
      <c r="B23" s="72" t="n"/>
      <c r="C23" s="84" t="n">
        <v>7</v>
      </c>
      <c r="D23" s="84" t="inlineStr">
        <is>
          <t>UI/Angular</t>
        </is>
      </c>
      <c r="E23" s="72" t="n"/>
      <c r="F23" s="72" t="n"/>
      <c r="G23" s="72" t="n"/>
    </row>
    <row r="24" ht="15" customHeight="1" s="70">
      <c r="A24" s="84" t="inlineStr">
        <is>
          <t>Full Stack Dev</t>
        </is>
      </c>
      <c r="B24" s="72" t="n"/>
      <c r="C24" s="84" t="n">
        <v>8</v>
      </c>
      <c r="D24" s="84" t="inlineStr">
        <is>
          <t>Features</t>
        </is>
      </c>
      <c r="E24" s="72" t="n"/>
      <c r="F24" s="72" t="n"/>
      <c r="G24" s="72" t="n"/>
    </row>
    <row r="25" ht="15" customHeight="1" s="70">
      <c r="A25" s="84" t="inlineStr">
        <is>
          <t>QA Engineer</t>
        </is>
      </c>
      <c r="B25" s="72" t="n"/>
      <c r="C25" s="84" t="n">
        <v>4</v>
      </c>
      <c r="D25" s="84" t="inlineStr">
        <is>
          <t>Testing</t>
        </is>
      </c>
      <c r="E25" s="72" t="n"/>
      <c r="F25" s="72" t="n"/>
      <c r="G25" s="72" t="n"/>
    </row>
  </sheetData>
  <mergeCells count="1">
    <mergeCell ref="A1:F1"/>
  </mergeCells>
  <conditionalFormatting sqref="F3:F6">
    <cfRule type="cellIs" rank="0" priority="2" equalAverage="0" operator="greaterThanOrEqual" aboveAverage="0" dxfId="8" text="" percent="0" bottom="0">
      <formula>0.85</formula>
    </cfRule>
    <cfRule type="expression" rank="0" priority="3" equalAverage="0" aboveAverage="0" dxfId="11" text="" percent="0" bottom="0">
      <formula>AND(F3&gt;=0.7,F3&lt;0.85)</formula>
    </cfRule>
    <cfRule type="cellIs" rank="0" priority="4" equalAverage="0" operator="lessThan" aboveAverage="0" dxfId="12" text="" percent="0" bottom="0">
      <formula>0.7</formula>
    </cfRule>
  </conditionalFormatting>
  <dataValidations count="1">
    <dataValidation sqref="B4:B25" showDropDown="1" showInputMessage="0" showErrorMessage="0" allowBlank="1" errorTitle="Entrée invalide" error="Sélectionner une valeur valide" type="list" errorStyle="stop" operator="between">
      <formula1>"PI-1,PI-2,PI-3"</formula1>
      <formula2>0</formula2>
    </dataValidation>
  </dataValidations>
  <hyperlinks>
    <hyperlink xmlns:r="http://schemas.openxmlformats.org/officeDocument/2006/relationships" ref="A1" location="Dashboard!A1" display="← Dashboard | ← Dashboard"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2"/>
</worksheet>
</file>

<file path=xl/worksheets/sheet9.xml><?xml version="1.0" encoding="utf-8"?>
<worksheet xmlns="http://schemas.openxmlformats.org/spreadsheetml/2006/main">
  <sheetPr filterMode="0">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0" customWidth="1" style="69" min="1" max="7"/>
  </cols>
  <sheetData>
    <row r="1" ht="15" customHeight="1" s="70">
      <c r="A1" s="78" t="inlineStr">
        <is>
          <t>← Dashboard | ← Dashboard</t>
        </is>
      </c>
    </row>
    <row r="2" ht="15" customHeight="1" s="70">
      <c r="A2" s="72" t="n"/>
      <c r="B2" s="72" t="n"/>
      <c r="C2" s="72" t="n"/>
      <c r="D2" s="72" t="n"/>
      <c r="E2" s="72" t="n"/>
      <c r="F2" s="72" t="n"/>
      <c r="G2" s="72" t="n"/>
    </row>
    <row r="3" ht="15" customHeight="1" s="70">
      <c r="A3" s="80" t="inlineStr">
        <is>
          <t>Risk ID</t>
        </is>
      </c>
      <c r="B3" s="80" t="inlineStr">
        <is>
          <t>Description</t>
        </is>
      </c>
      <c r="C3" s="80" t="inlineStr">
        <is>
          <t>Status</t>
        </is>
      </c>
      <c r="D3" s="80" t="inlineStr">
        <is>
          <t>Probability</t>
        </is>
      </c>
      <c r="E3" s="80" t="inlineStr">
        <is>
          <t>Impact</t>
        </is>
      </c>
      <c r="F3" s="80" t="inlineStr">
        <is>
          <t>Owner</t>
        </is>
      </c>
      <c r="G3" s="80" t="inlineStr">
        <is>
          <t>Deadline</t>
        </is>
      </c>
    </row>
    <row r="4" ht="15" customHeight="1" s="70">
      <c r="A4" s="84" t="inlineStr">
        <is>
          <t>R-01</t>
        </is>
      </c>
      <c r="B4" s="84" t="inlineStr">
        <is>
          <t>Capacité solo-dev insuffisante pour 81 SP engagés</t>
        </is>
      </c>
      <c r="C4" s="112" t="inlineStr">
        <is>
          <t>Accepted</t>
        </is>
      </c>
      <c r="D4" s="84" t="inlineStr">
        <is>
          <t>Haute</t>
        </is>
      </c>
      <c r="E4" s="84" t="inlineStr">
        <is>
          <t>Moyen</t>
        </is>
      </c>
      <c r="F4" s="84" t="inlineStr">
        <is>
          <t>Gwenvael</t>
        </is>
      </c>
      <c r="G4" s="113" t="n"/>
    </row>
    <row r="5" ht="15" customHeight="1" s="70">
      <c r="A5" s="84" t="inlineStr">
        <is>
          <t>R-02</t>
        </is>
      </c>
      <c r="B5" s="84" t="inlineStr">
        <is>
          <t>WiFi gymnase instable pendant les tests</t>
        </is>
      </c>
      <c r="C5" s="114" t="inlineStr">
        <is>
          <t>Mitigated</t>
        </is>
      </c>
      <c r="D5" s="84" t="inlineStr">
        <is>
          <t>Haute</t>
        </is>
      </c>
      <c r="E5" s="84" t="inlineStr">
        <is>
          <t>Moyen</t>
        </is>
      </c>
      <c r="F5" s="84" t="inlineStr">
        <is>
          <t>Gwenvael</t>
        </is>
      </c>
      <c r="G5" s="113" t="n"/>
    </row>
    <row r="6" ht="15" customHeight="1" s="70">
      <c r="A6" s="84" t="inlineStr">
        <is>
          <t>R-03</t>
        </is>
      </c>
      <c r="B6" s="84" t="inlineStr">
        <is>
          <t>Aucun sponsor inscrit pour valider le portail</t>
        </is>
      </c>
      <c r="C6" s="115" t="inlineStr">
        <is>
          <t>Owned</t>
        </is>
      </c>
      <c r="D6" s="84" t="inlineStr">
        <is>
          <t>Moyenne</t>
        </is>
      </c>
      <c r="E6" s="84" t="inlineStr">
        <is>
          <t>Élevé</t>
        </is>
      </c>
      <c r="F6" s="84" t="inlineStr">
        <is>
          <t>Gwenvael + Gabin</t>
        </is>
      </c>
      <c r="G6" s="113" t="n"/>
    </row>
    <row r="7" ht="15" customHeight="1" s="70">
      <c r="A7" s="84" t="inlineStr">
        <is>
          <t>R-04</t>
        </is>
      </c>
      <c r="B7" s="84" t="inlineStr">
        <is>
          <t>Dépendance Supabase pour le scaling</t>
        </is>
      </c>
      <c r="C7" s="116" t="inlineStr">
        <is>
          <t>Accepted</t>
        </is>
      </c>
      <c r="D7" s="84" t="inlineStr">
        <is>
          <t>Basse</t>
        </is>
      </c>
      <c r="E7" s="84" t="inlineStr">
        <is>
          <t>Élevé</t>
        </is>
      </c>
      <c r="F7" s="84" t="inlineStr">
        <is>
          <t>Gwenvael</t>
        </is>
      </c>
      <c r="G7" s="113" t="n"/>
    </row>
    <row r="8" ht="15" customHeight="1" s="70">
      <c r="A8" s="84" t="inlineStr">
        <is>
          <t>R-05</t>
        </is>
      </c>
      <c r="B8" s="84" t="inlineStr">
        <is>
          <t>Sécurité des api_keys Pi</t>
        </is>
      </c>
      <c r="C8" s="114" t="inlineStr">
        <is>
          <t>Mitigated</t>
        </is>
      </c>
      <c r="D8" s="84" t="inlineStr">
        <is>
          <t>Basse</t>
        </is>
      </c>
      <c r="E8" s="84" t="inlineStr">
        <is>
          <t>Critique</t>
        </is>
      </c>
      <c r="F8" s="84" t="inlineStr">
        <is>
          <t>Gwenvael</t>
        </is>
      </c>
      <c r="G8" s="113" t="n"/>
    </row>
    <row r="9" ht="15" customHeight="1" s="70">
      <c r="A9" s="84" t="inlineStr">
        <is>
          <t>R-06</t>
        </is>
      </c>
      <c r="B9" s="84" t="inlineStr">
        <is>
          <t>Retard onboarding automatisé bloque le scaling</t>
        </is>
      </c>
      <c r="C9" s="115" t="inlineStr">
        <is>
          <t>Owned</t>
        </is>
      </c>
      <c r="D9" s="84" t="inlineStr">
        <is>
          <t>Moyenne</t>
        </is>
      </c>
      <c r="E9" s="84" t="inlineStr">
        <is>
          <t>Critique</t>
        </is>
      </c>
      <c r="F9" s="84" t="inlineStr">
        <is>
          <t>Gwenvael</t>
        </is>
      </c>
      <c r="G9" s="113" t="n"/>
    </row>
    <row r="10" ht="15" customHeight="1" s="70">
      <c r="A10" s="84" t="inlineStr">
        <is>
          <t>R-07</t>
        </is>
      </c>
      <c r="B10" s="84" t="inlineStr">
        <is>
          <t>Hébergement FTP Hostinger comme point de défaillance</t>
        </is>
      </c>
      <c r="C10" s="114" t="inlineStr">
        <is>
          <t>Accepted</t>
        </is>
      </c>
      <c r="D10" s="84" t="inlineStr">
        <is>
          <t>Basse</t>
        </is>
      </c>
      <c r="E10" s="84" t="inlineStr">
        <is>
          <t>Élevé</t>
        </is>
      </c>
      <c r="F10" s="84" t="inlineStr">
        <is>
          <t>Gwenvael</t>
        </is>
      </c>
      <c r="G10" s="113" t="n"/>
    </row>
    <row r="11" ht="15" customHeight="1" s="70">
      <c r="A11" s="84" t="inlineStr">
        <is>
          <t>R-08</t>
        </is>
      </c>
      <c r="B11" s="84" t="inlineStr">
        <is>
          <t>Absence de tests E2E sur le parcours sponsor</t>
        </is>
      </c>
      <c r="C11" s="116" t="inlineStr">
        <is>
          <t>Owned</t>
        </is>
      </c>
      <c r="D11" s="84" t="inlineStr">
        <is>
          <t>Haute</t>
        </is>
      </c>
      <c r="E11" s="84" t="inlineStr">
        <is>
          <t>Moyen</t>
        </is>
      </c>
      <c r="F11" s="84" t="inlineStr">
        <is>
          <t>Gwenvael</t>
        </is>
      </c>
      <c r="G11" s="113" t="n"/>
    </row>
  </sheetData>
  <mergeCells count="1">
    <mergeCell ref="A1:G1"/>
  </mergeCells>
  <conditionalFormatting sqref="D4:D11">
    <cfRule type="cellIs" rank="0" priority="2" equalAverage="0" operator="equal" aboveAverage="0" dxfId="12" text="" percent="0" bottom="0">
      <formula>"Haute"</formula>
    </cfRule>
    <cfRule type="cellIs" rank="0" priority="3" equalAverage="0" operator="equal" aboveAverage="0" dxfId="11" text="" percent="0" bottom="0">
      <formula>"Moyenne"</formula>
    </cfRule>
    <cfRule type="cellIs" rank="0" priority="4" equalAverage="0" operator="equal" aboveAverage="0" dxfId="13" text="" percent="0" bottom="0">
      <formula>"Basse"</formula>
    </cfRule>
  </conditionalFormatting>
  <conditionalFormatting sqref="C4:C11">
    <cfRule type="cellIs" rank="0" priority="5" equalAverage="0" operator="equal" aboveAverage="0" dxfId="8" text="" percent="0" bottom="0">
      <formula>"Resolved"</formula>
    </cfRule>
    <cfRule type="cellIs" rank="0" priority="6" equalAverage="0" operator="equal" aboveAverage="0" dxfId="9" text="" percent="0" bottom="0">
      <formula>"Mitigated"</formula>
    </cfRule>
    <cfRule type="cellIs" rank="0" priority="7" equalAverage="0" operator="equal" aboveAverage="0" dxfId="14" text="" percent="0" bottom="0">
      <formula>"Owned"</formula>
    </cfRule>
    <cfRule type="cellIs" rank="0" priority="8" equalAverage="0" operator="equal" aboveAverage="0" dxfId="11" text="" percent="0" bottom="0">
      <formula>"Accepted"</formula>
    </cfRule>
  </conditionalFormatting>
  <dataValidations count="3">
    <dataValidation sqref="C4:C11" showDropDown="1" showInputMessage="0" showErrorMessage="0" allowBlank="1" errorTitle="Entrée invalide" error="Sélectionner une valeur valide" type="list" errorStyle="stop" operator="between">
      <formula1>"Owned,Accepted,Mitigated,Resolved"</formula1>
      <formula2>0</formula2>
    </dataValidation>
    <dataValidation sqref="D4:D11" showDropDown="1" showInputMessage="0" showErrorMessage="0" allowBlank="1" errorTitle="Entrée invalide" error="Sélectionner une valeur valide" type="list" errorStyle="stop" operator="between">
      <formula1>"Haute,Moyenne,Basse"</formula1>
      <formula2>0</formula2>
    </dataValidation>
    <dataValidation sqref="E4:E11" showDropDown="1" showInputMessage="0" showErrorMessage="0" allowBlank="1" errorTitle="Entrée invalide" error="Sélectionner une valeur valide" type="list" errorStyle="stop" operator="between">
      <formula1>"Critique,Élevé,Moyen,Faible"</formula1>
      <formula2>0</formula2>
    </dataValidation>
  </dataValidations>
  <hyperlinks>
    <hyperlink xmlns:r="http://schemas.openxmlformats.org/officeDocument/2006/relationships" ref="A1" location="Dashboard!A1" display="← Dashboard | ← Dashboard"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69" min="1" max="1"/>
    <col width="15" customWidth="1" style="69" min="2" max="2"/>
    <col width="25" customWidth="1" style="69" min="3" max="3"/>
    <col width="20" customWidth="1" style="69" min="4" max="4"/>
    <col width="15" customWidth="1" style="69" min="5" max="5"/>
  </cols>
  <sheetData>
    <row r="1" ht="15" customHeight="1" s="70">
      <c r="A1" s="83" t="inlineStr">
        <is>
          <t>Flow Metrics by Value Stream</t>
        </is>
      </c>
    </row>
    <row r="2" ht="15" customHeight="1" s="70">
      <c r="A2" s="72" t="n"/>
      <c r="B2" s="72" t="n"/>
      <c r="C2" s="72" t="n"/>
      <c r="D2" s="72" t="n"/>
      <c r="E2" s="72" t="n"/>
    </row>
    <row r="3" ht="15" customHeight="1" s="70">
      <c r="A3" s="80" t="inlineStr">
        <is>
          <t>Value Stream</t>
        </is>
      </c>
      <c r="B3" s="80" t="inlineStr">
        <is>
          <t>WIP Limit</t>
        </is>
      </c>
      <c r="C3" s="80" t="inlineStr">
        <is>
          <t>Throughput (US/week)</t>
        </is>
      </c>
      <c r="D3" s="80" t="inlineStr">
        <is>
          <t>Cycle Time (days)</t>
        </is>
      </c>
      <c r="E3" s="80" t="inlineStr">
        <is>
          <t>Flow Health</t>
        </is>
      </c>
    </row>
    <row r="4" ht="15" customHeight="1" s="70">
      <c r="A4" s="84" t="inlineStr">
        <is>
          <t>OVS-1: Club to Screen</t>
        </is>
      </c>
      <c r="B4" s="84" t="n">
        <v>8</v>
      </c>
      <c r="C4" s="84" t="n">
        <v>4.2</v>
      </c>
      <c r="D4" s="84" t="n">
        <v>5</v>
      </c>
      <c r="E4" s="84" t="inlineStr">
        <is>
          <t>Healthy</t>
        </is>
      </c>
    </row>
    <row r="5" ht="15" customHeight="1" s="70">
      <c r="A5" s="84" t="inlineStr">
        <is>
          <t>OVS-2: Sponsor Impression</t>
        </is>
      </c>
      <c r="B5" s="84" t="n">
        <v>6</v>
      </c>
      <c r="C5" s="84" t="n">
        <v>3.1</v>
      </c>
      <c r="D5" s="84" t="n">
        <v>6</v>
      </c>
      <c r="E5" s="84" t="inlineStr">
        <is>
          <t>Healthy</t>
        </is>
      </c>
    </row>
    <row r="6" ht="15" customHeight="1" s="70">
      <c r="A6" s="84" t="inlineStr">
        <is>
          <t>DVS-1: Platform</t>
        </is>
      </c>
      <c r="B6" s="84" t="n">
        <v>10</v>
      </c>
      <c r="C6" s="84" t="n">
        <v>5.8</v>
      </c>
      <c r="D6" s="84" t="n">
        <v>4</v>
      </c>
      <c r="E6" s="84" t="inlineStr">
        <is>
          <t>Excellent</t>
        </is>
      </c>
    </row>
    <row r="7" ht="15" customHeight="1" s="70">
      <c r="A7" s="84" t="inlineStr">
        <is>
          <t>Support/Tech Debt</t>
        </is>
      </c>
      <c r="B7" s="84" t="n">
        <v>4</v>
      </c>
      <c r="C7" s="84" t="n">
        <v>2.3</v>
      </c>
      <c r="D7" s="84" t="n">
        <v>8</v>
      </c>
      <c r="E7" s="84" t="inlineStr">
        <is>
          <t>At Risk</t>
        </is>
      </c>
    </row>
    <row r="8" ht="15" customHeight="1" s="70">
      <c r="A8" s="84" t="inlineStr">
        <is>
          <t>Integration/Infra</t>
        </is>
      </c>
      <c r="B8" s="84" t="n">
        <v>5</v>
      </c>
      <c r="C8" s="84" t="n">
        <v>2.1</v>
      </c>
      <c r="D8" s="84" t="n">
        <v>7</v>
      </c>
      <c r="E8" s="84" t="inlineStr">
        <is>
          <t>Healthy</t>
        </is>
      </c>
    </row>
    <row r="9" ht="15" customHeight="1" s="70">
      <c r="A9" s="84" t="inlineStr">
        <is>
          <t>Learning/Innovation</t>
        </is>
      </c>
      <c r="B9" s="84" t="n">
        <v>3</v>
      </c>
      <c r="C9" s="84" t="n">
        <v>1.5</v>
      </c>
      <c r="D9" s="84" t="n">
        <v>10</v>
      </c>
      <c r="E9" s="84" t="inlineStr">
        <is>
          <t>Stable</t>
        </is>
      </c>
    </row>
    <row r="10" ht="15" customHeight="1" s="70">
      <c r="A10" s="72" t="n"/>
      <c r="B10" s="72" t="n"/>
      <c r="C10" s="72" t="n"/>
      <c r="D10" s="72" t="n"/>
      <c r="E10" s="72" t="n"/>
    </row>
    <row r="11" ht="15" customHeight="1" s="70">
      <c r="A11" s="72" t="inlineStr">
        <is>
          <t>VS</t>
        </is>
      </c>
      <c r="B11" s="72" t="inlineStr">
        <is>
          <t>Allocation %</t>
        </is>
      </c>
      <c r="C11" s="72" t="n"/>
      <c r="D11" s="72" t="n"/>
      <c r="E11" s="72" t="n"/>
    </row>
    <row r="12" ht="15" customHeight="1" s="70">
      <c r="A12" s="72" t="inlineStr">
        <is>
          <t>Club to Screen</t>
        </is>
      </c>
      <c r="B12" s="72" t="n">
        <v>25</v>
      </c>
      <c r="C12" s="72" t="n"/>
      <c r="D12" s="72" t="n"/>
      <c r="E12" s="72" t="n"/>
    </row>
    <row r="13" ht="15" customHeight="1" s="70">
      <c r="A13" s="72" t="inlineStr">
        <is>
          <t>Sponsor Impression</t>
        </is>
      </c>
      <c r="B13" s="72" t="n">
        <v>20</v>
      </c>
      <c r="C13" s="72" t="n"/>
      <c r="D13" s="72" t="n"/>
      <c r="E13" s="72" t="n"/>
    </row>
    <row r="14" ht="15" customHeight="1" s="70">
      <c r="A14" s="72" t="inlineStr">
        <is>
          <t>Platform Core</t>
        </is>
      </c>
      <c r="B14" s="72" t="n">
        <v>35</v>
      </c>
      <c r="C14" s="72" t="n"/>
      <c r="D14" s="72" t="n"/>
      <c r="E14" s="72" t="n"/>
    </row>
    <row r="15" ht="15" customHeight="1" s="70">
      <c r="A15" s="72" t="inlineStr">
        <is>
          <t>Support/Debt</t>
        </is>
      </c>
      <c r="B15" s="72" t="n">
        <v>12</v>
      </c>
      <c r="C15" s="72" t="n"/>
      <c r="D15" s="72" t="n"/>
      <c r="E15" s="72" t="n"/>
    </row>
    <row r="16" ht="15" customHeight="1" s="70">
      <c r="A16" s="72" t="inlineStr">
        <is>
          <t>Learning</t>
        </is>
      </c>
      <c r="B16" s="72" t="n">
        <v>8</v>
      </c>
      <c r="C16" s="72" t="n"/>
      <c r="D16" s="72" t="n"/>
      <c r="E16" s="72" t="n"/>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11.xml><?xml version="1.0" encoding="utf-8"?>
<worksheet xmlns="http://schemas.openxmlformats.org/spreadsheetml/2006/main">
  <sheetPr filterMode="0">
    <outlinePr summaryBelow="1" summaryRight="1"/>
    <pageSetUpPr fitToPage="0"/>
  </sheetPr>
  <dimension ref="A1:F25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4" customWidth="1" style="69" min="1" max="1"/>
    <col width="52" customWidth="1" style="69" min="2" max="2"/>
    <col width="12" customWidth="1" style="69" min="3" max="3"/>
    <col width="10" customWidth="1" style="69" min="4" max="4"/>
    <col width="32" customWidth="1" style="69" min="5" max="5"/>
    <col width="22" customWidth="1" style="69" min="6" max="6"/>
  </cols>
  <sheetData>
    <row r="1" ht="30" customHeight="1" s="70">
      <c r="A1" s="117" t="inlineStr">
        <is>
          <t>← Dashboard | ← Dashboard</t>
        </is>
      </c>
    </row>
    <row r="2" ht="15" customHeight="1" s="70">
      <c r="A2" s="118" t="inlineStr">
        <is>
          <t>184 features — 13 domaines — Source: 34 changelogs + 200+ commits git (v1.0→v3.60)</t>
        </is>
      </c>
    </row>
    <row r="3" ht="15" customHeight="1" s="70">
      <c r="A3" s="72" t="n"/>
      <c r="B3" s="72" t="n"/>
      <c r="C3" s="72" t="n"/>
      <c r="D3" s="72" t="n"/>
      <c r="E3" s="72" t="n"/>
      <c r="F3" s="72" t="n"/>
    </row>
    <row r="4" ht="21.75" customHeight="1" s="70">
      <c r="A4" s="119" t="inlineStr">
        <is>
          <t>1. Authentification &amp; Sécurité (13)</t>
        </is>
      </c>
    </row>
    <row r="5" ht="15" customHeight="1" s="70">
      <c r="A5" s="89" t="inlineStr">
        <is>
          <t>IMP-SEC-01</t>
        </is>
      </c>
      <c r="B5" s="89" t="inlineStr">
        <is>
          <t>Authentification JWT (HttpOnly cookies + Bearer)</t>
        </is>
      </c>
      <c r="C5" s="120" t="inlineStr">
        <is>
          <t>Production</t>
        </is>
      </c>
      <c r="D5" s="89" t="inlineStr">
        <is>
          <t>v1.0</t>
        </is>
      </c>
      <c r="E5" s="89" t="inlineStr">
        <is>
          <t>auth.controller.ts</t>
        </is>
      </c>
      <c r="F5" s="89" t="inlineStr">
        <is>
          <t>Authentification &amp; Sécurité</t>
        </is>
      </c>
    </row>
    <row r="6" ht="15" customHeight="1" s="70">
      <c r="A6" s="90" t="inlineStr">
        <is>
          <t>IMP-SEC-02</t>
        </is>
      </c>
      <c r="B6" s="90" t="inlineStr">
        <is>
          <t>MFA / 2FA (TOTP avec QR code)</t>
        </is>
      </c>
      <c r="C6" s="120" t="inlineStr">
        <is>
          <t>Production</t>
        </is>
      </c>
      <c r="D6" s="90" t="inlineStr">
        <is>
          <t>v1.0</t>
        </is>
      </c>
      <c r="E6" s="90" t="inlineStr">
        <is>
          <t>mfa.service.ts</t>
        </is>
      </c>
      <c r="F6" s="90" t="inlineStr">
        <is>
          <t>Authentification &amp; Sécurité</t>
        </is>
      </c>
    </row>
    <row r="7" ht="15" customHeight="1" s="70">
      <c r="A7" s="89" t="inlineStr">
        <is>
          <t>IMP-SEC-03</t>
        </is>
      </c>
      <c r="B7" s="89" t="inlineStr">
        <is>
          <t>Réinitialisation mot de passe (token 24h + email)</t>
        </is>
      </c>
      <c r="C7" s="120" t="inlineStr">
        <is>
          <t>Production</t>
        </is>
      </c>
      <c r="D7" s="89" t="inlineStr">
        <is>
          <t>v1.0</t>
        </is>
      </c>
      <c r="E7" s="89" t="inlineStr">
        <is>
          <t>password-reset.service.ts</t>
        </is>
      </c>
      <c r="F7" s="89" t="inlineStr">
        <is>
          <t>Authentification &amp; Sécurité</t>
        </is>
      </c>
    </row>
    <row r="8" ht="15" customHeight="1" s="70">
      <c r="A8" s="90" t="inlineStr">
        <is>
          <t>IMP-SEC-04</t>
        </is>
      </c>
      <c r="B8" s="90" t="inlineStr">
        <is>
          <t>Journalisation d'audit GDPR</t>
        </is>
      </c>
      <c r="C8" s="120" t="inlineStr">
        <is>
          <t>Production</t>
        </is>
      </c>
      <c r="D8" s="90" t="inlineStr">
        <is>
          <t>v1.0</t>
        </is>
      </c>
      <c r="E8" s="90" t="inlineStr">
        <is>
          <t>audit.service.ts</t>
        </is>
      </c>
      <c r="F8" s="90" t="inlineStr">
        <is>
          <t>Authentification &amp; Sécurité</t>
        </is>
      </c>
    </row>
    <row r="9" ht="15" customHeight="1" s="70">
      <c r="A9" s="89" t="inlineStr">
        <is>
          <t>IMP-SEC-05</t>
        </is>
      </c>
      <c r="B9" s="89" t="inlineStr">
        <is>
          <t>Sécurité niveau ligne (isolation multi-tenant PostgreSQL)</t>
        </is>
      </c>
      <c r="C9" s="120" t="inlineStr">
        <is>
          <t>Production</t>
        </is>
      </c>
      <c r="D9" s="89" t="inlineStr">
        <is>
          <t>v1.0</t>
        </is>
      </c>
      <c r="E9" s="89" t="inlineStr">
        <is>
          <t>rls-functions.sql</t>
        </is>
      </c>
      <c r="F9" s="89" t="inlineStr">
        <is>
          <t>Authentification &amp; Sécurité</t>
        </is>
      </c>
    </row>
    <row r="10" ht="15" customHeight="1" s="70">
      <c r="A10" s="90" t="inlineStr">
        <is>
          <t>IMP-SEC-06</t>
        </is>
      </c>
      <c r="B10" s="90" t="inlineStr">
        <is>
          <t>CORS fermé par défaut en production</t>
        </is>
      </c>
      <c r="C10" s="120" t="inlineStr">
        <is>
          <t>Production</t>
        </is>
      </c>
      <c r="D10" s="90" t="inlineStr">
        <is>
          <t>v1.0</t>
        </is>
      </c>
      <c r="E10" s="90" t="inlineStr">
        <is>
          <t>server.ts</t>
        </is>
      </c>
      <c r="F10" s="90" t="inlineStr">
        <is>
          <t>Authentification &amp; Sécurité</t>
        </is>
      </c>
    </row>
    <row r="11" ht="15" customHeight="1" s="70">
      <c r="A11" s="89" t="inlineStr">
        <is>
          <t>IMP-SEC-07</t>
        </is>
      </c>
      <c r="B11" s="89" t="inlineStr">
        <is>
          <t>Auth admin Raspberry (cookies session + mot de passe initial)</t>
        </is>
      </c>
      <c r="C11" s="120" t="inlineStr">
        <is>
          <t>Production</t>
        </is>
      </c>
      <c r="D11" s="89" t="inlineStr">
        <is>
          <t>v1.0</t>
        </is>
      </c>
      <c r="E11" s="89" t="inlineStr">
        <is>
          <t>admin-server.js</t>
        </is>
      </c>
      <c r="F11" s="89" t="inlineStr">
        <is>
          <t>Authentification &amp; Sécurité</t>
        </is>
      </c>
    </row>
    <row r="12" ht="15" customHeight="1" s="70">
      <c r="A12" s="90" t="inlineStr">
        <is>
          <t>IMP-SEC-08</t>
        </is>
      </c>
      <c r="B12" s="90" t="inlineStr">
        <is>
          <t>Suppression mot de passe en dur</t>
        </is>
      </c>
      <c r="C12" s="120" t="inlineStr">
        <is>
          <t>Production</t>
        </is>
      </c>
      <c r="D12" s="90" t="inlineStr">
        <is>
          <t>v1.0</t>
        </is>
      </c>
      <c r="E12" s="90" t="inlineStr">
        <is>
          <t>-</t>
        </is>
      </c>
      <c r="F12" s="90" t="inlineStr">
        <is>
          <t>Authentification &amp; Sécurité</t>
        </is>
      </c>
    </row>
    <row r="13" ht="15" customHeight="1" s="70">
      <c r="A13" s="89" t="inlineStr">
        <is>
          <t>IMP-SEC-09</t>
        </is>
      </c>
      <c r="B13" s="89" t="inlineStr">
        <is>
          <t>GDPR self-service (Art. 17 droit à l'effacement, Art. 20 portabilité)</t>
        </is>
      </c>
      <c r="C13" s="120" t="inlineStr">
        <is>
          <t>Production</t>
        </is>
      </c>
      <c r="D13" s="89" t="inlineStr">
        <is>
          <t>v1.0</t>
        </is>
      </c>
      <c r="E13" s="89" t="inlineStr">
        <is>
          <t>gdpr.service.ts</t>
        </is>
      </c>
      <c r="F13" s="89" t="inlineStr">
        <is>
          <t>Authentification &amp; Sécurité</t>
        </is>
      </c>
    </row>
    <row r="14" ht="15" customHeight="1" s="70">
      <c r="A14" s="90" t="inlineStr">
        <is>
          <t>IMP-SEC-10</t>
        </is>
      </c>
      <c r="B14" s="90" t="inlineStr">
        <is>
          <t>Sauvegardes chiffrées AES-256-GCM avec PBKDF2</t>
        </is>
      </c>
      <c r="C14" s="120" t="inlineStr">
        <is>
          <t>Production</t>
        </is>
      </c>
      <c r="D14" s="90" t="inlineStr">
        <is>
          <t>v1.0</t>
        </is>
      </c>
      <c r="E14" s="90" t="inlineStr">
        <is>
          <t>backup-encryption.service.ts</t>
        </is>
      </c>
      <c r="F14" s="90" t="inlineStr">
        <is>
          <t>Authentification &amp; Sécurité</t>
        </is>
      </c>
    </row>
    <row r="15" ht="15" customHeight="1" s="70">
      <c r="A15" s="89" t="inlineStr">
        <is>
          <t>IMP-SEC-11</t>
        </is>
      </c>
      <c r="B15" s="89" t="inlineStr">
        <is>
          <t>Helmet renforcé (CSP, X-Frame-Options deny, HSTS 1 an)</t>
        </is>
      </c>
      <c r="C15" s="120" t="inlineStr">
        <is>
          <t>Production</t>
        </is>
      </c>
      <c r="D15" s="89" t="inlineStr">
        <is>
          <t>v1.0</t>
        </is>
      </c>
      <c r="E15" s="89" t="inlineStr">
        <is>
          <t>server.ts</t>
        </is>
      </c>
      <c r="F15" s="89" t="inlineStr">
        <is>
          <t>Authentification &amp; Sécurité</t>
        </is>
      </c>
    </row>
    <row r="16" ht="15" customHeight="1" s="70">
      <c r="A16" s="90" t="inlineStr">
        <is>
          <t>IMP-SEC-12</t>
        </is>
      </c>
      <c r="B16" s="90" t="inlineStr">
        <is>
          <t>Socket.IO CORS fermé par défaut (production)</t>
        </is>
      </c>
      <c r="C16" s="120" t="inlineStr">
        <is>
          <t>Production</t>
        </is>
      </c>
      <c r="D16" s="90" t="inlineStr">
        <is>
          <t>v1.0</t>
        </is>
      </c>
      <c r="E16" s="90" t="inlineStr">
        <is>
          <t>socket.service.ts</t>
        </is>
      </c>
      <c r="F16" s="90" t="inlineStr">
        <is>
          <t>Authentification &amp; Sécurité</t>
        </is>
      </c>
    </row>
    <row r="17" ht="15" customHeight="1" s="70">
      <c r="A17" s="89" t="inlineStr">
        <is>
          <t>IMP-SEC-13</t>
        </is>
      </c>
      <c r="B17" s="89" t="inlineStr">
        <is>
          <t>Pages légales intégrées (CGU, CGV, Politique de confidentialité, Registre GDPR)</t>
        </is>
      </c>
      <c r="C17" s="120" t="inlineStr">
        <is>
          <t>Production</t>
        </is>
      </c>
      <c r="D17" s="89" t="inlineStr">
        <is>
          <t>v1.0</t>
        </is>
      </c>
      <c r="E17" s="89" t="inlineStr">
        <is>
          <t>/legal/*</t>
        </is>
      </c>
      <c r="F17" s="89" t="inlineStr">
        <is>
          <t>Authentification &amp; Sécurité</t>
        </is>
      </c>
    </row>
    <row r="18" ht="15" customHeight="1" s="70">
      <c r="A18" s="72" t="n"/>
      <c r="B18" s="72" t="n"/>
      <c r="C18" s="72" t="n"/>
      <c r="D18" s="72" t="n"/>
      <c r="E18" s="72" t="n"/>
      <c r="F18" s="72" t="n"/>
    </row>
    <row r="19" ht="15" customHeight="1" s="70">
      <c r="A19" s="121" t="inlineStr">
        <is>
          <t>2. Gestion de Contenu &amp; Vidéo (13)</t>
        </is>
      </c>
    </row>
    <row r="20" ht="21.75" customHeight="1" s="70">
      <c r="A20" s="89" t="inlineStr">
        <is>
          <t>IMP-VID-01</t>
        </is>
      </c>
      <c r="B20" s="122" t="n"/>
      <c r="C20" s="122" t="n"/>
      <c r="D20" s="122" t="n"/>
      <c r="E20" s="122" t="n"/>
      <c r="F20" s="123" t="n"/>
    </row>
    <row r="21" ht="15" customHeight="1" s="70">
      <c r="A21" s="90" t="inlineStr">
        <is>
          <t>IMP-VID-02</t>
        </is>
      </c>
      <c r="B21" s="90" t="inlineStr">
        <is>
          <t>Compression vidéo automatique</t>
        </is>
      </c>
      <c r="C21" s="120" t="inlineStr">
        <is>
          <t>Production</t>
        </is>
      </c>
      <c r="D21" s="90" t="inlineStr">
        <is>
          <t>v1.0</t>
        </is>
      </c>
      <c r="E21" s="90" t="inlineStr">
        <is>
          <t>video-compression.service.ts</t>
        </is>
      </c>
      <c r="F21" s="90" t="inlineStr">
        <is>
          <t>Gestion de Contenu &amp; Vidéo</t>
        </is>
      </c>
    </row>
    <row r="22" ht="15" customHeight="1" s="70">
      <c r="A22" s="89" t="inlineStr">
        <is>
          <t>IMP-VID-03</t>
        </is>
      </c>
      <c r="B22" s="89" t="inlineStr">
        <is>
          <t>Conversion image vers vidéo (ffmpeg, JPG/PNG/WEBP → MP4)</t>
        </is>
      </c>
      <c r="C22" s="120" t="inlineStr">
        <is>
          <t>Production</t>
        </is>
      </c>
      <c r="D22" s="89" t="inlineStr">
        <is>
          <t>v2.44.0</t>
        </is>
      </c>
      <c r="E22" s="89" t="inlineStr">
        <is>
          <t>image-to-video.service.ts</t>
        </is>
      </c>
      <c r="F22" s="89" t="inlineStr">
        <is>
          <t>Gestion de Contenu &amp; Vidéo</t>
        </is>
      </c>
    </row>
    <row r="23" ht="15" customHeight="1" s="70">
      <c r="A23" s="90" t="inlineStr">
        <is>
          <t>IMP-VID-04</t>
        </is>
      </c>
      <c r="B23" s="90" t="inlineStr">
        <is>
          <t>Conversion image vers vidéo : option fond flouté</t>
        </is>
      </c>
      <c r="C23" s="120" t="inlineStr">
        <is>
          <t>Production</t>
        </is>
      </c>
      <c r="D23" s="90" t="inlineStr">
        <is>
          <t>v2.44.0</t>
        </is>
      </c>
      <c r="E23" s="90" t="inlineStr">
        <is>
          <t>image-to-video.service.ts</t>
        </is>
      </c>
      <c r="F23" s="90" t="inlineStr">
        <is>
          <t>Gestion de Contenu &amp; Vidéo</t>
        </is>
      </c>
    </row>
    <row r="24" ht="15" customHeight="1" s="70">
      <c r="A24" s="89" t="inlineStr">
        <is>
          <t>IMP-VID-05</t>
        </is>
      </c>
      <c r="B24" s="89" t="inlineStr">
        <is>
          <t>Miniatures automatiques</t>
        </is>
      </c>
      <c r="C24" s="120" t="inlineStr">
        <is>
          <t>Production</t>
        </is>
      </c>
      <c r="D24" s="89" t="inlineStr">
        <is>
          <t>v1.0</t>
        </is>
      </c>
      <c r="E24" s="89" t="inlineStr">
        <is>
          <t>thumbnail.service.ts</t>
        </is>
      </c>
      <c r="F24" s="89" t="inlineStr">
        <is>
          <t>Gestion de Contenu &amp; Vidéo</t>
        </is>
      </c>
    </row>
    <row r="25" ht="15" customHeight="1" s="70">
      <c r="A25" s="90" t="inlineStr">
        <is>
          <t>IMP-VID-06</t>
        </is>
      </c>
      <c r="B25" s="90" t="inlineStr">
        <is>
          <t>Stockage unifié FTP (Hostinger)</t>
        </is>
      </c>
      <c r="C25" s="120" t="inlineStr">
        <is>
          <t>Production</t>
        </is>
      </c>
      <c r="D25" s="90" t="inlineStr">
        <is>
          <t>v1.0</t>
        </is>
      </c>
      <c r="E25" s="90" t="inlineStr">
        <is>
          <t>storage.service.ts</t>
        </is>
      </c>
      <c r="F25" s="90" t="inlineStr">
        <is>
          <t>Gestion de Contenu &amp; Vidéo</t>
        </is>
      </c>
    </row>
    <row r="26" ht="15" customHeight="1" s="70">
      <c r="A26" s="89" t="inlineStr">
        <is>
          <t>IMP-VID-07</t>
        </is>
      </c>
      <c r="B26" s="89" t="inlineStr">
        <is>
          <t>Versioning brouillon de config (sauvegarder avant déployer)</t>
        </is>
      </c>
      <c r="C26" s="120" t="inlineStr">
        <is>
          <t>Production</t>
        </is>
      </c>
      <c r="D26" s="89" t="inlineStr">
        <is>
          <t>v1.0</t>
        </is>
      </c>
      <c r="E26" s="89" t="inlineStr">
        <is>
          <t>draft.service.ts</t>
        </is>
      </c>
      <c r="F26" s="89" t="inlineStr">
        <is>
          <t>Gestion de Contenu &amp; Vidéo</t>
        </is>
      </c>
    </row>
    <row r="27" ht="15" customHeight="1" s="70">
      <c r="A27" s="90" t="inlineStr">
        <is>
          <t>IMP-VID-08</t>
        </is>
      </c>
      <c r="B27" s="90" t="inlineStr">
        <is>
          <t>Gestion des assets (logos, images)</t>
        </is>
      </c>
      <c r="C27" s="120" t="inlineStr">
        <is>
          <t>Production</t>
        </is>
      </c>
      <c r="D27" s="90" t="inlineStr">
        <is>
          <t>v1.0</t>
        </is>
      </c>
      <c r="E27" s="90" t="inlineStr">
        <is>
          <t>assets.controller.ts</t>
        </is>
      </c>
      <c r="F27" s="90" t="inlineStr">
        <is>
          <t>Gestion de Contenu &amp; Vidéo</t>
        </is>
      </c>
    </row>
    <row r="28" ht="15" customHeight="1" s="70">
      <c r="A28" s="89" t="inlineStr">
        <is>
          <t>IMP-VID-09</t>
        </is>
      </c>
      <c r="B28" s="89" t="inlineStr">
        <is>
          <t>Pagination côté serveur pour listing vidéos</t>
        </is>
      </c>
      <c r="C28" s="120" t="inlineStr">
        <is>
          <t>Production</t>
        </is>
      </c>
      <c r="D28" s="89" t="inlineStr">
        <is>
          <t>v3.56.0</t>
        </is>
      </c>
      <c r="E28" s="89" t="inlineStr">
        <is>
          <t>content.controller.ts</t>
        </is>
      </c>
      <c r="F28" s="89" t="inlineStr">
        <is>
          <t>Gestion de Contenu &amp; Vidéo</t>
        </is>
      </c>
    </row>
    <row r="29" ht="15" customHeight="1" s="70">
      <c r="A29" s="90" t="inlineStr">
        <is>
          <t>IMP-VID-10</t>
        </is>
      </c>
      <c r="B29" s="90" t="inlineStr">
        <is>
          <t>Prévisualisation vidéo dans page gestion contenu</t>
        </is>
      </c>
      <c r="C29" s="120" t="inlineStr">
        <is>
          <t>Production</t>
        </is>
      </c>
      <c r="D29" s="90" t="inlineStr">
        <is>
          <t>v1.0</t>
        </is>
      </c>
      <c r="E29" s="90" t="inlineStr">
        <is>
          <t>content-management.component.ts</t>
        </is>
      </c>
      <c r="F29" s="90" t="inlineStr">
        <is>
          <t>Gestion de Contenu &amp; Vidéo</t>
        </is>
      </c>
    </row>
    <row r="30" ht="15" customHeight="1" s="70">
      <c r="A30" s="89" t="inlineStr">
        <is>
          <t>IMP-VID-11</t>
        </is>
      </c>
      <c r="B30" s="89" t="inlineStr">
        <is>
          <t>Historique config avec détail dépliable et restauration</t>
        </is>
      </c>
      <c r="C30" s="120" t="inlineStr">
        <is>
          <t>Production</t>
        </is>
      </c>
      <c r="D30" s="89" t="inlineStr">
        <is>
          <t>v3.43.0</t>
        </is>
      </c>
      <c r="E30" s="89" t="inlineStr">
        <is>
          <t>config-history.component.ts</t>
        </is>
      </c>
      <c r="F30" s="89" t="inlineStr">
        <is>
          <t>Gestion de Contenu &amp; Vidéo</t>
        </is>
      </c>
    </row>
    <row r="31" ht="15" customHeight="1" s="70">
      <c r="A31" s="90" t="inlineStr">
        <is>
          <t>IMP-VID-12</t>
        </is>
      </c>
      <c r="B31" s="90" t="inlineStr">
        <is>
          <t>Restructuration UX onglet Contenu (ADR-022, P0→P3)</t>
        </is>
      </c>
      <c r="C31" s="120" t="inlineStr">
        <is>
          <t>Production</t>
        </is>
      </c>
      <c r="D31" s="90" t="inlineStr">
        <is>
          <t>v3.39.0</t>
        </is>
      </c>
      <c r="E31" s="90" t="inlineStr">
        <is>
          <t>content-tab.component.ts</t>
        </is>
      </c>
      <c r="F31" s="90" t="inlineStr">
        <is>
          <t>Gestion de Contenu &amp; Vidéo</t>
        </is>
      </c>
    </row>
    <row r="32" ht="15" customHeight="1" s="70">
      <c r="A32" s="89" t="inlineStr">
        <is>
          <t>IMP-VID-13</t>
        </is>
      </c>
      <c r="B32" s="89" t="inlineStr">
        <is>
          <t>Historique des modifications dans onglet Contenu (P3-3)</t>
        </is>
      </c>
      <c r="C32" s="120" t="inlineStr">
        <is>
          <t>Production</t>
        </is>
      </c>
      <c r="D32" s="89" t="inlineStr">
        <is>
          <t>v3.40.0</t>
        </is>
      </c>
      <c r="E32" s="89" t="inlineStr">
        <is>
          <t>-</t>
        </is>
      </c>
      <c r="F32" s="89" t="inlineStr">
        <is>
          <t>Gestion de Contenu &amp; Vidéo</t>
        </is>
      </c>
    </row>
    <row r="33" ht="15" customHeight="1" s="70">
      <c r="A33" s="72" t="n"/>
      <c r="B33" s="72" t="n"/>
      <c r="C33" s="72" t="n"/>
      <c r="D33" s="72" t="n"/>
      <c r="E33" s="72" t="n"/>
      <c r="F33" s="72" t="n"/>
    </row>
    <row r="34" ht="15" customHeight="1" s="70">
      <c r="A34" s="124" t="inlineStr">
        <is>
          <t>3. Live Score &amp; Overlays (10)</t>
        </is>
      </c>
    </row>
    <row r="35" ht="15" customHeight="1" s="70">
      <c r="A35" s="89" t="inlineStr">
        <is>
          <t>IMP-OVR-01</t>
        </is>
      </c>
      <c r="B35" s="89" t="inlineStr">
        <is>
          <t>Overlay V2 Multi-Sport (6 sports, 9 positions)</t>
        </is>
      </c>
      <c r="C35" s="120" t="inlineStr">
        <is>
          <t>Production</t>
        </is>
      </c>
      <c r="D35" s="89" t="inlineStr">
        <is>
          <t>v1.0</t>
        </is>
      </c>
      <c r="E35" s="89" t="inlineStr">
        <is>
          <t>tv.component.ts</t>
        </is>
      </c>
      <c r="F35" s="89" t="inlineStr">
        <is>
          <t>Live Score &amp; Overlays</t>
        </is>
      </c>
    </row>
    <row r="36" ht="21.75" customHeight="1" s="70">
      <c r="A36" s="90" t="inlineStr">
        <is>
          <t>IMP-OVR-02</t>
        </is>
      </c>
      <c r="B36" s="122" t="n"/>
      <c r="C36" s="122" t="n"/>
      <c r="D36" s="122" t="n"/>
      <c r="E36" s="122" t="n"/>
      <c r="F36" s="123" t="n"/>
    </row>
    <row r="37" ht="15" customHeight="1" s="70">
      <c r="A37" s="89" t="inlineStr">
        <is>
          <t>IMP-OVR-03</t>
        </is>
      </c>
      <c r="B37" s="89" t="inlineStr">
        <is>
          <t>Overlay score simplifié : 2 thèmes CSS broadcast</t>
        </is>
      </c>
      <c r="C37" s="120" t="inlineStr">
        <is>
          <t>Production</t>
        </is>
      </c>
      <c r="D37" s="89" t="inlineStr">
        <is>
          <t>v3.50.0</t>
        </is>
      </c>
      <c r="E37" s="89" t="inlineStr">
        <is>
          <t>overlay.component.ts</t>
        </is>
      </c>
      <c r="F37" s="89" t="inlineStr">
        <is>
          <t>Live Score &amp; Overlays</t>
        </is>
      </c>
    </row>
    <row r="38" ht="15" customHeight="1" s="70">
      <c r="A38" s="90" t="inlineStr">
        <is>
          <t>IMP-OVR-04</t>
        </is>
      </c>
      <c r="B38" s="90" t="inlineStr">
        <is>
          <t>Score en direct avec overlay + popup</t>
        </is>
      </c>
      <c r="C38" s="120" t="inlineStr">
        <is>
          <t>Production</t>
        </is>
      </c>
      <c r="D38" s="90" t="inlineStr">
        <is>
          <t>v1.0</t>
        </is>
      </c>
      <c r="E38" s="90" t="inlineStr">
        <is>
          <t>-</t>
        </is>
      </c>
      <c r="F38" s="90" t="inlineStr">
        <is>
          <t>Live Score &amp; Overlays</t>
        </is>
      </c>
    </row>
    <row r="39" ht="15" customHeight="1" s="70">
      <c r="A39" s="89" t="inlineStr">
        <is>
          <t>IMP-OVR-05</t>
        </is>
      </c>
      <c r="B39" s="89" t="inlineStr">
        <is>
          <t>Personnalisation overlay score depuis dashboard central</t>
        </is>
      </c>
      <c r="C39" s="120" t="inlineStr">
        <is>
          <t>Production</t>
        </is>
      </c>
      <c r="D39" s="89" t="inlineStr">
        <is>
          <t>v1.0</t>
        </is>
      </c>
      <c r="E39" s="89" t="inlineStr">
        <is>
          <t>-</t>
        </is>
      </c>
      <c r="F39" s="89" t="inlineStr">
        <is>
          <t>Live Score &amp; Overlays</t>
        </is>
      </c>
    </row>
    <row r="40" ht="15" customHeight="1" s="70">
      <c r="A40" s="90" t="inlineStr">
        <is>
          <t>IMP-OVR-06</t>
        </is>
      </c>
      <c r="B40" s="90" t="inlineStr">
        <is>
          <t>Upload logos équipes et affichage dans overlay</t>
        </is>
      </c>
      <c r="C40" s="120" t="inlineStr">
        <is>
          <t>Production</t>
        </is>
      </c>
      <c r="D40" s="90" t="inlineStr">
        <is>
          <t>v1.0</t>
        </is>
      </c>
      <c r="E40" s="90" t="inlineStr">
        <is>
          <t>-</t>
        </is>
      </c>
      <c r="F40" s="90" t="inlineStr">
        <is>
          <t>Live Score &amp; Overlays</t>
        </is>
      </c>
    </row>
    <row r="41" ht="15" customHeight="1" s="70">
      <c r="A41" s="89" t="inlineStr">
        <is>
          <t>IMP-OVR-07</t>
        </is>
      </c>
      <c r="B41" s="89" t="inlineStr">
        <is>
          <t>Presets overlay (templates de configuration réutilisables)</t>
        </is>
      </c>
      <c r="C41" s="120" t="inlineStr">
        <is>
          <t>Production</t>
        </is>
      </c>
      <c r="D41" s="89" t="inlineStr">
        <is>
          <t>v1.0</t>
        </is>
      </c>
      <c r="E41" s="89" t="inlineStr">
        <is>
          <t>-</t>
        </is>
      </c>
      <c r="F41" s="89" t="inlineStr">
        <is>
          <t>Live Score &amp; Overlays</t>
        </is>
      </c>
    </row>
    <row r="42" ht="15" customHeight="1" s="70">
      <c r="A42" s="90" t="inlineStr">
        <is>
          <t>IMP-OVR-08</t>
        </is>
      </c>
      <c r="B42" s="90" t="inlineStr">
        <is>
          <t>Bandeau d'informations défilant (scroll/truncate/multiline)</t>
        </is>
      </c>
      <c r="C42" s="120" t="inlineStr">
        <is>
          <t>Production</t>
        </is>
      </c>
      <c r="D42" s="90" t="inlineStr">
        <is>
          <t>v1.0</t>
        </is>
      </c>
      <c r="E42" s="90" t="inlineStr">
        <is>
          <t>-</t>
        </is>
      </c>
      <c r="F42" s="90" t="inlineStr">
        <is>
          <t>Live Score &amp; Overlays</t>
        </is>
      </c>
    </row>
    <row r="43" ht="15" customHeight="1" s="70">
      <c r="A43" s="89" t="inlineStr">
        <is>
          <t>IMP-OVR-09</t>
        </is>
      </c>
      <c r="B43" s="89" t="inlineStr">
        <is>
          <t>Animation but (popup/plein écran/slide)</t>
        </is>
      </c>
      <c r="C43" s="120" t="inlineStr">
        <is>
          <t>Production</t>
        </is>
      </c>
      <c r="D43" s="89" t="inlineStr">
        <is>
          <t>v1.0</t>
        </is>
      </c>
      <c r="E43" s="89" t="inlineStr">
        <is>
          <t>-</t>
        </is>
      </c>
      <c r="F43" s="89" t="inlineStr">
        <is>
          <t>Live Score &amp; Overlays</t>
        </is>
      </c>
    </row>
    <row r="44" ht="15" customHeight="1" s="70">
      <c r="A44" s="90" t="inlineStr">
        <is>
          <t>IMP-OVR-10</t>
        </is>
      </c>
      <c r="B44" s="90" t="inlineStr">
        <is>
          <t>Chronomètre intégré avec score</t>
        </is>
      </c>
      <c r="C44" s="120" t="inlineStr">
        <is>
          <t>Production</t>
        </is>
      </c>
      <c r="D44" s="90" t="inlineStr">
        <is>
          <t>v1.0</t>
        </is>
      </c>
      <c r="E44" s="90" t="inlineStr">
        <is>
          <t>-</t>
        </is>
      </c>
      <c r="F44" s="90" t="inlineStr">
        <is>
          <t>Live Score &amp; Overlays</t>
        </is>
      </c>
    </row>
    <row r="45" ht="15" customHeight="1" s="70">
      <c r="A45" s="72" t="n"/>
      <c r="B45" s="72" t="n"/>
      <c r="C45" s="72" t="n"/>
      <c r="D45" s="72" t="n"/>
      <c r="E45" s="72" t="n"/>
      <c r="F45" s="72" t="n"/>
    </row>
    <row r="46" ht="15" customHeight="1" s="70">
      <c r="A46" s="125" t="inlineStr">
        <is>
          <t>4. Déploiement &amp; OTA (12)</t>
        </is>
      </c>
    </row>
    <row r="47" ht="15" customHeight="1" s="70">
      <c r="A47" s="89" t="inlineStr">
        <is>
          <t>IMP-DEP-01</t>
        </is>
      </c>
      <c r="B47" s="89" t="inlineStr">
        <is>
          <t>Déploiement vidéo avec retry (3 max, backoff 5min)</t>
        </is>
      </c>
      <c r="C47" s="120" t="inlineStr">
        <is>
          <t>Production</t>
        </is>
      </c>
      <c r="D47" s="89" t="inlineStr">
        <is>
          <t>v1.0</t>
        </is>
      </c>
      <c r="E47" s="89" t="inlineStr">
        <is>
          <t>deployment.service.ts</t>
        </is>
      </c>
      <c r="F47" s="89" t="inlineStr">
        <is>
          <t>Déploiement &amp; OTA</t>
        </is>
      </c>
    </row>
    <row r="48" ht="15" customHeight="1" s="70">
      <c r="A48" s="90" t="inlineStr">
        <is>
          <t>IMP-DEP-02</t>
        </is>
      </c>
      <c r="B48" s="90" t="inlineStr">
        <is>
          <t>Déploiement orchestré multi-sites</t>
        </is>
      </c>
      <c r="C48" s="120" t="inlineStr">
        <is>
          <t>Production</t>
        </is>
      </c>
      <c r="D48" s="90" t="inlineStr">
        <is>
          <t>v1.0</t>
        </is>
      </c>
      <c r="E48" s="90" t="inlineStr">
        <is>
          <t>orchestrated-deployment.service.ts</t>
        </is>
      </c>
      <c r="F48" s="90" t="inlineStr">
        <is>
          <t>Déploiement &amp; OTA</t>
        </is>
      </c>
    </row>
    <row r="49" ht="21.75" customHeight="1" s="70">
      <c r="A49" s="89" t="inlineStr">
        <is>
          <t>IMP-DEP-03</t>
        </is>
      </c>
      <c r="B49" s="122" t="n"/>
      <c r="C49" s="122" t="n"/>
      <c r="D49" s="122" t="n"/>
      <c r="E49" s="122" t="n"/>
      <c r="F49" s="123" t="n"/>
    </row>
    <row r="50" ht="15" customHeight="1" s="70">
      <c r="A50" s="90" t="inlineStr">
        <is>
          <t>IMP-DEP-04</t>
        </is>
      </c>
      <c r="B50" s="90" t="inlineStr">
        <is>
          <t>Mises à jour logicielles OTA avec planification redémarrage</t>
        </is>
      </c>
      <c r="C50" s="120" t="inlineStr">
        <is>
          <t>Production</t>
        </is>
      </c>
      <c r="D50" s="90" t="inlineStr">
        <is>
          <t>v1.0</t>
        </is>
      </c>
      <c r="E50" s="90" t="inlineStr">
        <is>
          <t>update-deployment.service.ts</t>
        </is>
      </c>
      <c r="F50" s="90" t="inlineStr">
        <is>
          <t>Déploiement &amp; OTA</t>
        </is>
      </c>
    </row>
    <row r="51" ht="15" customHeight="1" s="70">
      <c r="A51" s="89" t="inlineStr">
        <is>
          <t>IMP-DEP-05</t>
        </is>
      </c>
      <c r="B51" s="89" t="inlineStr">
        <is>
          <t>File de commandes (commandes pour Pi hors-ligne)</t>
        </is>
      </c>
      <c r="C51" s="120" t="inlineStr">
        <is>
          <t>Production</t>
        </is>
      </c>
      <c r="D51" s="89" t="inlineStr">
        <is>
          <t>v1.0</t>
        </is>
      </c>
      <c r="E51" s="89" t="inlineStr">
        <is>
          <t>command-queue.service.ts</t>
        </is>
      </c>
      <c r="F51" s="89" t="inlineStr">
        <is>
          <t>Déploiement &amp; OTA</t>
        </is>
      </c>
    </row>
    <row r="52" ht="15" customHeight="1" s="70">
      <c r="A52" s="90" t="inlineStr">
        <is>
          <t>IMP-DEP-06</t>
        </is>
      </c>
      <c r="B52" s="90" t="inlineStr">
        <is>
          <t>Déploiements planifiés (date/heure)</t>
        </is>
      </c>
      <c r="C52" s="120" t="inlineStr">
        <is>
          <t>Production</t>
        </is>
      </c>
      <c r="D52" s="90" t="inlineStr">
        <is>
          <t>v1.0</t>
        </is>
      </c>
      <c r="E52" s="90" t="inlineStr">
        <is>
          <t>deployment.service.ts</t>
        </is>
      </c>
      <c r="F52" s="90" t="inlineStr">
        <is>
          <t>Déploiement &amp; OTA</t>
        </is>
      </c>
    </row>
    <row r="53" ht="15" customHeight="1" s="70">
      <c r="A53" s="89" t="inlineStr">
        <is>
          <t>IMP-DEP-07</t>
        </is>
      </c>
      <c r="B53" s="89" t="inlineStr">
        <is>
          <t>File de déploiement vidéo (pattern sendOrQueue)</t>
        </is>
      </c>
      <c r="C53" s="120" t="inlineStr">
        <is>
          <t>Production</t>
        </is>
      </c>
      <c r="D53" s="89" t="inlineStr">
        <is>
          <t>v2.6.2</t>
        </is>
      </c>
      <c r="E53" s="89" t="inlineStr">
        <is>
          <t>deployment.service.ts</t>
        </is>
      </c>
      <c r="F53" s="89" t="inlineStr">
        <is>
          <t>Déploiement &amp; OTA</t>
        </is>
      </c>
    </row>
    <row r="54" ht="15" customHeight="1" s="70">
      <c r="A54" s="90" t="inlineStr">
        <is>
          <t>IMP-DEP-08</t>
        </is>
      </c>
      <c r="B54" s="90" t="inlineStr">
        <is>
          <t>OTA planification redémarrage + rollback automatique</t>
        </is>
      </c>
      <c r="C54" s="120" t="inlineStr">
        <is>
          <t>Production</t>
        </is>
      </c>
      <c r="D54" s="90" t="inlineStr">
        <is>
          <t>v3.55.0</t>
        </is>
      </c>
      <c r="E54" s="90" t="inlineStr">
        <is>
          <t>update-deployment.service.ts</t>
        </is>
      </c>
      <c r="F54" s="90" t="inlineStr">
        <is>
          <t>Déploiement &amp; OTA</t>
        </is>
      </c>
    </row>
    <row r="55" ht="15" customHeight="1" s="70">
      <c r="A55" s="89" t="inlineStr">
        <is>
          <t>IMP-DEP-09</t>
        </is>
      </c>
      <c r="B55" s="89" t="inlineStr">
        <is>
          <t>Exécuteur de migration + retry checksum OTA</t>
        </is>
      </c>
      <c r="C55" s="120" t="inlineStr">
        <is>
          <t>Production</t>
        </is>
      </c>
      <c r="D55" s="89" t="inlineStr">
        <is>
          <t>v3.55.0</t>
        </is>
      </c>
      <c r="E55" s="89" t="inlineStr">
        <is>
          <t>migration-runner.js</t>
        </is>
      </c>
      <c r="F55" s="89" t="inlineStr">
        <is>
          <t>Déploiement &amp; OTA</t>
        </is>
      </c>
    </row>
    <row r="56" ht="15" customHeight="1" s="70">
      <c r="A56" s="90" t="inlineStr">
        <is>
          <t>IMP-DEP-10</t>
        </is>
      </c>
      <c r="B56" s="90" t="inlineStr">
        <is>
          <t>Diagnostic santé Pi complet (mode JSON)</t>
        </is>
      </c>
      <c r="C56" s="120" t="inlineStr">
        <is>
          <t>Production</t>
        </is>
      </c>
      <c r="D56" s="90" t="inlineStr">
        <is>
          <t>v3.46.0</t>
        </is>
      </c>
      <c r="E56" s="90" t="inlineStr">
        <is>
          <t>health-diagnostic.js</t>
        </is>
      </c>
      <c r="F56" s="90" t="inlineStr">
        <is>
          <t>Déploiement &amp; OTA</t>
        </is>
      </c>
    </row>
    <row r="57" ht="15" customHeight="1" s="70">
      <c r="A57" s="89" t="inlineStr">
        <is>
          <t>IMP-DEP-11</t>
        </is>
      </c>
      <c r="B57" s="89" t="inlineStr">
        <is>
          <t>Scripts pré-migration (fix ownership, copie VERSION)</t>
        </is>
      </c>
      <c r="C57" s="120" t="inlineStr">
        <is>
          <t>Production</t>
        </is>
      </c>
      <c r="D57" s="89" t="inlineStr">
        <is>
          <t>v3.30.5</t>
        </is>
      </c>
      <c r="E57" s="89" t="inlineStr">
        <is>
          <t>pre-migration.sh</t>
        </is>
      </c>
      <c r="F57" s="89" t="inlineStr">
        <is>
          <t>Déploiement &amp; OTA</t>
        </is>
      </c>
    </row>
    <row r="58" ht="15" customHeight="1" s="70">
      <c r="A58" s="90" t="inlineStr">
        <is>
          <t>IMP-DEP-12</t>
        </is>
      </c>
      <c r="B58" s="90" t="inlineStr">
        <is>
          <t>Scripts install/setup/build renforcés</t>
        </is>
      </c>
      <c r="C58" s="120" t="inlineStr">
        <is>
          <t>Production</t>
        </is>
      </c>
      <c r="D58" s="90" t="inlineStr">
        <is>
          <t>v3.44.4</t>
        </is>
      </c>
      <c r="E58" s="90" t="inlineStr">
        <is>
          <t>install.sh, setup.sh</t>
        </is>
      </c>
      <c r="F58" s="90" t="inlineStr">
        <is>
          <t>Déploiement &amp; OTA</t>
        </is>
      </c>
    </row>
    <row r="59" ht="15" customHeight="1" s="70">
      <c r="A59" s="72" t="n"/>
      <c r="B59" s="72" t="n"/>
      <c r="C59" s="72" t="n"/>
      <c r="D59" s="72" t="n"/>
      <c r="E59" s="72" t="n"/>
      <c r="F59" s="72" t="n"/>
    </row>
    <row r="60" ht="15" customHeight="1" s="70">
      <c r="A60" s="126" t="inlineStr">
        <is>
          <t>5. Monétisation &amp; Sponsors (14)</t>
        </is>
      </c>
    </row>
    <row r="61" ht="15" customHeight="1" s="70">
      <c r="A61" s="89" t="inlineStr">
        <is>
          <t>IMP-MON-01</t>
        </is>
      </c>
      <c r="B61" s="89" t="inlineStr">
        <is>
          <t>Système d'abonnements 3 tiers (Essentiel/Autonomie/Premium)</t>
        </is>
      </c>
      <c r="C61" s="120" t="inlineStr">
        <is>
          <t>Production</t>
        </is>
      </c>
      <c r="D61" s="89" t="inlineStr">
        <is>
          <t>v1.0</t>
        </is>
      </c>
      <c r="E61" s="89" t="inlineStr">
        <is>
          <t>subscription.service.ts</t>
        </is>
      </c>
      <c r="F61" s="89" t="inlineStr">
        <is>
          <t>Monétisation &amp; Sponsors</t>
        </is>
      </c>
    </row>
    <row r="62" ht="15" customHeight="1" s="70">
      <c r="A62" s="90" t="inlineStr">
        <is>
          <t>IMP-MON-02</t>
        </is>
      </c>
      <c r="B62" s="90" t="inlineStr">
        <is>
          <t>Facturation mensuelle (export CSV/JSON)</t>
        </is>
      </c>
      <c r="C62" s="120" t="inlineStr">
        <is>
          <t>Production</t>
        </is>
      </c>
      <c r="D62" s="90" t="inlineStr">
        <is>
          <t>v1.0</t>
        </is>
      </c>
      <c r="E62" s="90" t="inlineStr">
        <is>
          <t>billing.service.ts</t>
        </is>
      </c>
      <c r="F62" s="90" t="inlineStr">
        <is>
          <t>Monétisation &amp; Sponsors</t>
        </is>
      </c>
    </row>
    <row r="63" ht="15" customHeight="1" s="70">
      <c r="A63" s="89" t="inlineStr">
        <is>
          <t>IMP-MON-03</t>
        </is>
      </c>
      <c r="B63" s="89" t="inlineStr">
        <is>
          <t>Portail annonceur (upload vidéos, analytics, compte)</t>
        </is>
      </c>
      <c r="C63" s="120" t="inlineStr">
        <is>
          <t>Production</t>
        </is>
      </c>
      <c r="D63" s="89" t="inlineStr">
        <is>
          <t>v1.0</t>
        </is>
      </c>
      <c r="E63" s="89" t="inlineStr">
        <is>
          <t>advertiser-portal.controller.ts</t>
        </is>
      </c>
      <c r="F63" s="89" t="inlineStr">
        <is>
          <t>Monétisation &amp; Sponsors</t>
        </is>
      </c>
    </row>
    <row r="64" ht="21.75" customHeight="1" s="70">
      <c r="A64" s="90" t="inlineStr">
        <is>
          <t>IMP-MON-04</t>
        </is>
      </c>
      <c r="B64" s="122" t="n"/>
      <c r="C64" s="122" t="n"/>
      <c r="D64" s="122" t="n"/>
      <c r="E64" s="122" t="n"/>
      <c r="F64" s="123" t="n"/>
    </row>
    <row r="65" ht="15" customHeight="1" s="70">
      <c r="A65" s="89" t="inlineStr">
        <is>
          <t>IMP-MON-05</t>
        </is>
      </c>
      <c r="B65" s="89" t="inlineStr">
        <is>
          <t>Portail agence (gestion multi-annonceurs)</t>
        </is>
      </c>
      <c r="C65" s="120" t="inlineStr">
        <is>
          <t>Production</t>
        </is>
      </c>
      <c r="D65" s="89" t="inlineStr">
        <is>
          <t>v1.0</t>
        </is>
      </c>
      <c r="E65" s="89" t="inlineStr">
        <is>
          <t>agency.controller.ts</t>
        </is>
      </c>
      <c r="F65" s="89" t="inlineStr">
        <is>
          <t>Monétisation &amp; Sponsors</t>
        </is>
      </c>
    </row>
    <row r="66" ht="15" customHeight="1" s="70">
      <c r="A66" s="90" t="inlineStr">
        <is>
          <t>IMP-MON-06</t>
        </is>
      </c>
      <c r="B66" s="90" t="inlineStr">
        <is>
          <t>Association site-sponsor</t>
        </is>
      </c>
      <c r="C66" s="120" t="inlineStr">
        <is>
          <t>Production</t>
        </is>
      </c>
      <c r="D66" s="90" t="inlineStr">
        <is>
          <t>v1.0</t>
        </is>
      </c>
      <c r="E66" s="90" t="inlineStr">
        <is>
          <t>site-sponsor.controller.ts</t>
        </is>
      </c>
      <c r="F66" s="90" t="inlineStr">
        <is>
          <t>Monétisation &amp; Sponsors</t>
        </is>
      </c>
    </row>
    <row r="67" ht="15" customHeight="1" s="70">
      <c r="A67" s="89" t="inlineStr">
        <is>
          <t>IMP-MON-07</t>
        </is>
      </c>
      <c r="B67" s="89" t="inlineStr">
        <is>
          <t>Migration Sponsor → Annonceur (sémantique métier)</t>
        </is>
      </c>
      <c r="C67" s="120" t="inlineStr">
        <is>
          <t>Production</t>
        </is>
      </c>
      <c r="D67" s="89" t="inlineStr">
        <is>
          <t>v1.0</t>
        </is>
      </c>
      <c r="E67" s="89" t="inlineStr">
        <is>
          <t>rename-sponsor-to-advertiser.sql</t>
        </is>
      </c>
      <c r="F67" s="89" t="inlineStr">
        <is>
          <t>Monétisation &amp; Sponsors</t>
        </is>
      </c>
    </row>
    <row r="68" ht="15" customHeight="1" s="70">
      <c r="A68" s="90" t="inlineStr">
        <is>
          <t>IMP-MON-08</t>
        </is>
      </c>
      <c r="B68" s="90" t="inlineStr">
        <is>
          <t>Preuve de diffusion (capture + certificat)</t>
        </is>
      </c>
      <c r="C68" s="120" t="inlineStr">
        <is>
          <t>Production</t>
        </is>
      </c>
      <c r="D68" s="90" t="inlineStr">
        <is>
          <t>v1.0</t>
        </is>
      </c>
      <c r="E68" s="90" t="inlineStr">
        <is>
          <t>proof.service.ts</t>
        </is>
      </c>
      <c r="F68" s="90" t="inlineStr">
        <is>
          <t>Monétisation &amp; Sponsors</t>
        </is>
      </c>
    </row>
    <row r="69" ht="15" customHeight="1" s="70">
      <c r="A69" s="89" t="inlineStr">
        <is>
          <t>IMP-MON-09</t>
        </is>
      </c>
      <c r="B69" s="89" t="inlineStr">
        <is>
          <t>Métriques sponsors cross-réseau</t>
        </is>
      </c>
      <c r="C69" s="120" t="inlineStr">
        <is>
          <t>Production</t>
        </is>
      </c>
      <c r="D69" s="89" t="inlineStr">
        <is>
          <t>v1.0</t>
        </is>
      </c>
      <c r="E69" s="89" t="inlineStr">
        <is>
          <t>network-sponsor.routes.ts</t>
        </is>
      </c>
      <c r="F69" s="89" t="inlineStr">
        <is>
          <t>Monétisation &amp; Sponsors</t>
        </is>
      </c>
    </row>
    <row r="70" ht="15" customHeight="1" s="70">
      <c r="A70" s="90" t="inlineStr">
        <is>
          <t>IMP-MON-10</t>
        </is>
      </c>
      <c r="B70" s="90" t="inlineStr">
        <is>
          <t>Interface association vidéo-sponsor (ajout/suppression)</t>
        </is>
      </c>
      <c r="C70" s="120" t="inlineStr">
        <is>
          <t>Production</t>
        </is>
      </c>
      <c r="D70" s="90" t="inlineStr">
        <is>
          <t>v3.59.0</t>
        </is>
      </c>
      <c r="E70" s="90" t="inlineStr">
        <is>
          <t>video-sponsor.component.ts</t>
        </is>
      </c>
      <c r="F70" s="90" t="inlineStr">
        <is>
          <t>Monétisation &amp; Sponsors</t>
        </is>
      </c>
    </row>
    <row r="71" ht="15" customHeight="1" s="70">
      <c r="A71" s="89" t="inlineStr">
        <is>
          <t>IMP-MON-11</t>
        </is>
      </c>
      <c r="B71" s="89" t="inlineStr">
        <is>
          <t>Sync dashboard sponsors vers Pi pendant déploiement (P8)</t>
        </is>
      </c>
      <c r="C71" s="120" t="inlineStr">
        <is>
          <t>Production</t>
        </is>
      </c>
      <c r="D71" s="89" t="inlineStr">
        <is>
          <t>v3.60.0</t>
        </is>
      </c>
      <c r="E71" s="89" t="inlineStr">
        <is>
          <t>deployment.service.ts</t>
        </is>
      </c>
      <c r="F71" s="89" t="inlineStr">
        <is>
          <t>Monétisation &amp; Sponsors</t>
        </is>
      </c>
    </row>
    <row r="72" ht="15" customHeight="1" s="70">
      <c r="A72" s="90" t="inlineStr">
        <is>
          <t>IMP-MON-12</t>
        </is>
      </c>
      <c r="B72" s="90" t="inlineStr">
        <is>
          <t>Site-sponsors P0-P5 : analytics, branding &amp; liens magiques</t>
        </is>
      </c>
      <c r="C72" s="120" t="inlineStr">
        <is>
          <t>Production</t>
        </is>
      </c>
      <c r="D72" s="90" t="inlineStr">
        <is>
          <t>v3.53.0</t>
        </is>
      </c>
      <c r="E72" s="90" t="inlineStr">
        <is>
          <t>site-sponsor.controller.ts</t>
        </is>
      </c>
      <c r="F72" s="90" t="inlineStr">
        <is>
          <t>Monétisation &amp; Sponsors</t>
        </is>
      </c>
    </row>
    <row r="73" ht="15" customHeight="1" s="70">
      <c r="A73" s="89" t="inlineStr">
        <is>
          <t>IMP-MON-13</t>
        </is>
      </c>
      <c r="B73" s="89" t="inlineStr">
        <is>
          <t>Poussée licence temps réel vers Pi sur changement abonnement</t>
        </is>
      </c>
      <c r="C73" s="120" t="inlineStr">
        <is>
          <t>Production</t>
        </is>
      </c>
      <c r="D73" s="89" t="inlineStr">
        <is>
          <t>v3.30.1</t>
        </is>
      </c>
      <c r="E73" s="89" t="inlineStr">
        <is>
          <t>subscription.service.ts</t>
        </is>
      </c>
      <c r="F73" s="89" t="inlineStr">
        <is>
          <t>Monétisation &amp; Sponsors</t>
        </is>
      </c>
    </row>
    <row r="74" ht="15" customHeight="1" s="70">
      <c r="A74" s="90" t="inlineStr">
        <is>
          <t>IMP-MON-14</t>
        </is>
      </c>
      <c r="B74" s="90" t="inlineStr">
        <is>
          <t>Interface abonnement : design premium glassmorphism + modal unifié</t>
        </is>
      </c>
      <c r="C74" s="120" t="inlineStr">
        <is>
          <t>Production</t>
        </is>
      </c>
      <c r="D74" s="90" t="inlineStr">
        <is>
          <t>v3.30.0</t>
        </is>
      </c>
      <c r="E74" s="90" t="inlineStr">
        <is>
          <t>subscription.component.ts</t>
        </is>
      </c>
      <c r="F74" s="90" t="inlineStr">
        <is>
          <t>Monétisation &amp; Sponsors</t>
        </is>
      </c>
    </row>
    <row r="75" ht="15" customHeight="1" s="70">
      <c r="A75" s="72" t="n"/>
      <c r="B75" s="72" t="n"/>
      <c r="C75" s="72" t="n"/>
      <c r="D75" s="72" t="n"/>
      <c r="E75" s="72" t="n"/>
      <c r="F75" s="72" t="n"/>
    </row>
    <row r="76" ht="15" customHeight="1" s="70">
      <c r="A76" s="127" t="inlineStr">
        <is>
          <t>6. Analytics &amp; Reporting (18)</t>
        </is>
      </c>
    </row>
    <row r="77" ht="15" customHeight="1" s="70">
      <c r="A77" s="89" t="inlineStr">
        <is>
          <t>IMP-ANA-01</t>
        </is>
      </c>
      <c r="B77" s="89" t="inlineStr">
        <is>
          <t>Analytics club (santé, engagement, lectures vidéo)</t>
        </is>
      </c>
      <c r="C77" s="120" t="inlineStr">
        <is>
          <t>Production</t>
        </is>
      </c>
      <c r="D77" s="89" t="inlineStr">
        <is>
          <t>v1.0</t>
        </is>
      </c>
      <c r="E77" s="89" t="inlineStr">
        <is>
          <t>analytics.controller.ts</t>
        </is>
      </c>
      <c r="F77" s="89" t="inlineStr">
        <is>
          <t>Analytics &amp; Reporting</t>
        </is>
      </c>
    </row>
    <row r="78" ht="15" customHeight="1" s="70">
      <c r="A78" s="90" t="inlineStr">
        <is>
          <t>IMP-ANA-02</t>
        </is>
      </c>
      <c r="B78" s="90" t="inlineStr">
        <is>
          <t>Analytics annonceurs (impressions par gymnase/période)</t>
        </is>
      </c>
      <c r="C78" s="120" t="inlineStr">
        <is>
          <t>Production</t>
        </is>
      </c>
      <c r="D78" s="90" t="inlineStr">
        <is>
          <t>v1.0</t>
        </is>
      </c>
      <c r="E78" s="90" t="inlineStr">
        <is>
          <t>advertiser-analytics.controller.ts</t>
        </is>
      </c>
      <c r="F78" s="90" t="inlineStr">
        <is>
          <t>Analytics &amp; Reporting</t>
        </is>
      </c>
    </row>
    <row r="79" ht="15" customHeight="1" s="70">
      <c r="A79" s="89" t="inlineStr">
        <is>
          <t>IMP-ANA-03</t>
        </is>
      </c>
      <c r="B79" s="89" t="inlineStr">
        <is>
          <t>Rapport PDF club (6 pages avec signature SHA-256)</t>
        </is>
      </c>
      <c r="C79" s="120" t="inlineStr">
        <is>
          <t>Production</t>
        </is>
      </c>
      <c r="D79" s="89" t="inlineStr">
        <is>
          <t>v1.0</t>
        </is>
      </c>
      <c r="E79" s="89" t="inlineStr">
        <is>
          <t>pdf-report.service.ts</t>
        </is>
      </c>
      <c r="F79" s="89" t="inlineStr">
        <is>
          <t>Analytics &amp; Reporting</t>
        </is>
      </c>
    </row>
    <row r="80" ht="15" customHeight="1" s="70">
      <c r="A80" s="90" t="inlineStr">
        <is>
          <t>IMP-ANA-04</t>
        </is>
      </c>
      <c r="B80" s="90" t="inlineStr">
        <is>
          <t>Rapports mensuels automatisés (PDF + CSV)</t>
        </is>
      </c>
      <c r="C80" s="120" t="inlineStr">
        <is>
          <t>Production</t>
        </is>
      </c>
      <c r="D80" s="90" t="inlineStr">
        <is>
          <t>v1.0</t>
        </is>
      </c>
      <c r="E80" s="90" t="inlineStr">
        <is>
          <t>monthly-reports.service.ts</t>
        </is>
      </c>
      <c r="F80" s="90" t="inlineStr">
        <is>
          <t>Analytics &amp; Reporting</t>
        </is>
      </c>
    </row>
    <row r="81" ht="21.75" customHeight="1" s="70">
      <c r="A81" s="89" t="inlineStr">
        <is>
          <t>IMP-ANA-05</t>
        </is>
      </c>
      <c r="B81" s="122" t="n"/>
      <c r="C81" s="122" t="n"/>
      <c r="D81" s="122" t="n"/>
      <c r="E81" s="122" t="n"/>
      <c r="F81" s="123" t="n"/>
    </row>
    <row r="82" ht="15" customHeight="1" s="70">
      <c r="A82" s="90" t="inlineStr">
        <is>
          <t>IMP-ANA-06</t>
        </is>
      </c>
      <c r="B82" s="90" t="inlineStr">
        <is>
          <t>Benchmark clubs anonymisé</t>
        </is>
      </c>
      <c r="C82" s="120" t="inlineStr">
        <is>
          <t>Production</t>
        </is>
      </c>
      <c r="D82" s="90" t="inlineStr">
        <is>
          <t>v1.0</t>
        </is>
      </c>
      <c r="E82" s="90" t="inlineStr">
        <is>
          <t>benchmark.service.ts</t>
        </is>
      </c>
      <c r="F82" s="90" t="inlineStr">
        <is>
          <t>Analytics &amp; Reporting</t>
        </is>
      </c>
    </row>
    <row r="83" ht="15" customHeight="1" s="70">
      <c r="A83" s="89" t="inlineStr">
        <is>
          <t>IMP-ANA-07</t>
        </is>
      </c>
      <c r="B83" s="89" t="inlineStr">
        <is>
          <t>Métriques Prometheus (performance, alertes, sync)</t>
        </is>
      </c>
      <c r="C83" s="120" t="inlineStr">
        <is>
          <t>Production</t>
        </is>
      </c>
      <c r="D83" s="89" t="inlineStr">
        <is>
          <t>v1.0</t>
        </is>
      </c>
      <c r="E83" s="89" t="inlineStr">
        <is>
          <t>metrics.service.ts</t>
        </is>
      </c>
      <c r="F83" s="89" t="inlineStr">
        <is>
          <t>Analytics &amp; Reporting</t>
        </is>
      </c>
    </row>
    <row r="84" ht="15" customHeight="1" s="70">
      <c r="A84" s="90" t="inlineStr">
        <is>
          <t>IMP-ANA-08</t>
        </is>
      </c>
      <c r="B84" s="90" t="inlineStr">
        <is>
          <t>Statistiques temps réel (agrégation live)</t>
        </is>
      </c>
      <c r="C84" s="120" t="inlineStr">
        <is>
          <t>Production</t>
        </is>
      </c>
      <c r="D84" s="90" t="inlineStr">
        <is>
          <t>v1.0</t>
        </is>
      </c>
      <c r="E84" s="90" t="inlineStr">
        <is>
          <t>realtime-stats.service.ts</t>
        </is>
      </c>
      <c r="F84" s="90" t="inlineStr">
        <is>
          <t>Analytics &amp; Reporting</t>
        </is>
      </c>
    </row>
    <row r="85" ht="15" customHeight="1" s="70">
      <c r="A85" s="89" t="inlineStr">
        <is>
          <t>IMP-ANA-09</t>
        </is>
      </c>
      <c r="B85" s="89" t="inlineStr">
        <is>
          <t>Métriques pitch-deck (investisseurs)</t>
        </is>
      </c>
      <c r="C85" s="120" t="inlineStr">
        <is>
          <t>Production</t>
        </is>
      </c>
      <c r="D85" s="89" t="inlineStr">
        <is>
          <t>v3.31.0</t>
        </is>
      </c>
      <c r="E85" s="89" t="inlineStr">
        <is>
          <t>pitch-deck.controller.ts</t>
        </is>
      </c>
      <c r="F85" s="89" t="inlineStr">
        <is>
          <t>Analytics &amp; Reporting</t>
        </is>
      </c>
    </row>
    <row r="86" ht="15" customHeight="1" s="70">
      <c r="A86" s="90" t="inlineStr">
        <is>
          <t>IMP-ANA-10</t>
        </is>
      </c>
      <c r="B86" s="90" t="inlineStr">
        <is>
          <t>Estimation d'audience et score live (champs DB)</t>
        </is>
      </c>
      <c r="C86" s="128" t="inlineStr">
        <is>
          <t>Livré</t>
        </is>
      </c>
      <c r="D86" s="90" t="inlineStr">
        <is>
          <t>v1.0</t>
        </is>
      </c>
      <c r="E86" s="90" t="inlineStr">
        <is>
          <t>add-audience-fields.sql</t>
        </is>
      </c>
      <c r="F86" s="90" t="inlineStr">
        <is>
          <t>Analytics &amp; Reporting</t>
        </is>
      </c>
    </row>
    <row r="87" ht="15" customHeight="1" s="70">
      <c r="A87" s="89" t="inlineStr">
        <is>
          <t>IMP-ANA-11</t>
        </is>
      </c>
      <c r="B87" s="89" t="inlineStr">
        <is>
          <t>P6 analytics : statistiques réseau, benchmark, CPI, décomposition match PDF</t>
        </is>
      </c>
      <c r="C87" s="120" t="inlineStr">
        <is>
          <t>Production</t>
        </is>
      </c>
      <c r="D87" s="89" t="inlineStr">
        <is>
          <t>v3.54.0</t>
        </is>
      </c>
      <c r="E87" s="89" t="inlineStr">
        <is>
          <t>analytics.controller.ts</t>
        </is>
      </c>
      <c r="F87" s="89" t="inlineStr">
        <is>
          <t>Analytics &amp; Reporting</t>
        </is>
      </c>
    </row>
    <row r="88" ht="15" customHeight="1" s="70">
      <c r="A88" s="90" t="inlineStr">
        <is>
          <t>IMP-ANA-12</t>
        </is>
      </c>
      <c r="B88" s="90" t="inlineStr">
        <is>
          <t>Dashboard métriques de traction (KPIs business pour pitch)</t>
        </is>
      </c>
      <c r="C88" s="120" t="inlineStr">
        <is>
          <t>Production</t>
        </is>
      </c>
      <c r="D88" s="90" t="inlineStr">
        <is>
          <t>v3.41.0</t>
        </is>
      </c>
      <c r="E88" s="90" t="inlineStr">
        <is>
          <t>traction-metrics.component.ts</t>
        </is>
      </c>
      <c r="F88" s="90" t="inlineStr">
        <is>
          <t>Analytics &amp; Reporting</t>
        </is>
      </c>
    </row>
    <row r="89" ht="15" customHeight="1" s="70">
      <c r="A89" s="89" t="inlineStr">
        <is>
          <t>IMP-ANA-13</t>
        </is>
      </c>
      <c r="B89" s="89" t="inlineStr">
        <is>
          <t>Détection statut TV HDMI-CEC (filtrer vraies lectures vidéo)</t>
        </is>
      </c>
      <c r="C89" s="120" t="inlineStr">
        <is>
          <t>Production</t>
        </is>
      </c>
      <c r="D89" s="89" t="inlineStr">
        <is>
          <t>v3.44.0</t>
        </is>
      </c>
      <c r="E89" s="89" t="inlineStr">
        <is>
          <t>hdmi-cec.service.ts</t>
        </is>
      </c>
      <c r="F89" s="89" t="inlineStr">
        <is>
          <t>Analytics &amp; Reporting</t>
        </is>
      </c>
    </row>
    <row r="90" ht="15" customHeight="1" s="70">
      <c r="A90" s="90" t="inlineStr">
        <is>
          <t>IMP-ANA-14</t>
        </is>
      </c>
      <c r="B90" s="90" t="inlineStr">
        <is>
          <t>Dashboard santé flotte</t>
        </is>
      </c>
      <c r="C90" s="120" t="inlineStr">
        <is>
          <t>Production</t>
        </is>
      </c>
      <c r="D90" s="90" t="inlineStr">
        <is>
          <t>v1.0</t>
        </is>
      </c>
      <c r="E90" s="90" t="inlineStr">
        <is>
          <t>fleet-health.component.ts</t>
        </is>
      </c>
      <c r="F90" s="90" t="inlineStr">
        <is>
          <t>Analytics &amp; Reporting</t>
        </is>
      </c>
    </row>
    <row r="91" ht="15" customHeight="1" s="70">
      <c r="A91" s="89" t="inlineStr">
        <is>
          <t>IMP-ANA-15</t>
        </is>
      </c>
      <c r="B91" s="89" t="inlineStr">
        <is>
          <t>Dashboard temps réel + export Excel</t>
        </is>
      </c>
      <c r="C91" s="120" t="inlineStr">
        <is>
          <t>Production</t>
        </is>
      </c>
      <c r="D91" s="89" t="inlineStr">
        <is>
          <t>v1.0</t>
        </is>
      </c>
      <c r="E91" s="89" t="inlineStr">
        <is>
          <t>realtime-dashboard.component.ts</t>
        </is>
      </c>
      <c r="F91" s="89" t="inlineStr">
        <is>
          <t>Analytics &amp; Reporting</t>
        </is>
      </c>
    </row>
    <row r="92" ht="15" customHeight="1" s="70">
      <c r="A92" s="90" t="inlineStr">
        <is>
          <t>IMP-ANA-16</t>
        </is>
      </c>
      <c r="B92" s="90" t="inlineStr">
        <is>
          <t>Navigation par onglets sur toutes les pages analytics</t>
        </is>
      </c>
      <c r="C92" s="120" t="inlineStr">
        <is>
          <t>Production</t>
        </is>
      </c>
      <c r="D92" s="90" t="inlineStr">
        <is>
          <t>v3.47.0</t>
        </is>
      </c>
      <c r="E92" s="90" t="inlineStr">
        <is>
          <t>analytics.module.ts</t>
        </is>
      </c>
      <c r="F92" s="90" t="inlineStr">
        <is>
          <t>Analytics &amp; Reporting</t>
        </is>
      </c>
    </row>
    <row r="93" ht="15" customHeight="1" s="70">
      <c r="A93" s="89" t="inlineStr">
        <is>
          <t>IMP-ANA-17</t>
        </is>
      </c>
      <c r="B93" s="89" t="inlineStr">
        <is>
          <t>Analytics sponsors : 6 KPIs, graphiques (ligne + anneau), export CSV</t>
        </is>
      </c>
      <c r="C93" s="120" t="inlineStr">
        <is>
          <t>Production</t>
        </is>
      </c>
      <c r="D93" s="89" t="inlineStr">
        <is>
          <t>v1.0</t>
        </is>
      </c>
      <c r="E93" s="89" t="inlineStr">
        <is>
          <t>sponsor-analytics.component.ts</t>
        </is>
      </c>
      <c r="F93" s="89" t="inlineStr">
        <is>
          <t>Analytics &amp; Reporting</t>
        </is>
      </c>
    </row>
    <row r="94" ht="15" customHeight="1" s="70">
      <c r="A94" s="90" t="inlineStr">
        <is>
          <t>IMP-ANA-18</t>
        </is>
      </c>
      <c r="B94" s="90" t="inlineStr">
        <is>
          <t>Rapports PDF sponsors professionnels (Chart.js)</t>
        </is>
      </c>
      <c r="C94" s="120" t="inlineStr">
        <is>
          <t>Production</t>
        </is>
      </c>
      <c r="D94" s="90" t="inlineStr">
        <is>
          <t>v1.0</t>
        </is>
      </c>
      <c r="E94" s="90" t="inlineStr">
        <is>
          <t>pdf-report.service.ts</t>
        </is>
      </c>
      <c r="F94" s="90" t="inlineStr">
        <is>
          <t>Analytics &amp; Reporting</t>
        </is>
      </c>
    </row>
    <row r="95" ht="15" customHeight="1" s="70">
      <c r="A95" s="72" t="n"/>
      <c r="B95" s="72" t="n"/>
      <c r="C95" s="72" t="n"/>
      <c r="D95" s="72" t="n"/>
      <c r="E95" s="72" t="n"/>
      <c r="F95" s="72" t="n"/>
    </row>
    <row r="96" ht="15" customHeight="1" s="70">
      <c r="A96" s="129" t="inlineStr">
        <is>
          <t>7. Raspberry Pi (Edge) (24)</t>
        </is>
      </c>
    </row>
    <row r="97" ht="15" customHeight="1" s="70">
      <c r="A97" s="89" t="inlineStr">
        <is>
          <t>IMP-PI-01</t>
        </is>
      </c>
      <c r="B97" s="89" t="inlineStr">
        <is>
          <t>Télécommande v2 (recherche, badge audience, modal match)</t>
        </is>
      </c>
      <c r="C97" s="120" t="inlineStr">
        <is>
          <t>Production</t>
        </is>
      </c>
      <c r="D97" s="89" t="inlineStr">
        <is>
          <t>v1.0</t>
        </is>
      </c>
      <c r="E97" s="89" t="inlineStr">
        <is>
          <t>remote.component.ts</t>
        </is>
      </c>
      <c r="F97" s="89" t="inlineStr">
        <is>
          <t>Raspberry Pi (Edge)</t>
        </is>
      </c>
    </row>
    <row r="98" ht="15" customHeight="1" s="70">
      <c r="A98" s="90" t="inlineStr">
        <is>
          <t>IMP-PI-02</t>
        </is>
      </c>
      <c r="B98" s="90" t="inlineStr">
        <is>
          <t>Socket.IO mode hors-ligne autonome (lib locale)</t>
        </is>
      </c>
      <c r="C98" s="120" t="inlineStr">
        <is>
          <t>Production</t>
        </is>
      </c>
      <c r="D98" s="90" t="inlineStr">
        <is>
          <t>v1.0</t>
        </is>
      </c>
      <c r="E98" s="90" t="inlineStr">
        <is>
          <t>socket.io.min.js</t>
        </is>
      </c>
      <c r="F98" s="90" t="inlineStr">
        <is>
          <t>Raspberry Pi (Edge)</t>
        </is>
      </c>
    </row>
    <row r="99" ht="15" customHeight="1" s="70">
      <c r="A99" s="89" t="inlineStr">
        <is>
          <t>IMP-PI-03</t>
        </is>
      </c>
      <c r="B99" s="89" t="inlineStr">
        <is>
          <t>Lecture vidéo double-buffer (transitions fluides)</t>
        </is>
      </c>
      <c r="C99" s="120" t="inlineStr">
        <is>
          <t>Production</t>
        </is>
      </c>
      <c r="D99" s="89" t="inlineStr">
        <is>
          <t>v1.0</t>
        </is>
      </c>
      <c r="E99" s="89" t="inlineStr">
        <is>
          <t>double-buffer-video.service.ts</t>
        </is>
      </c>
      <c r="F99" s="89" t="inlineStr">
        <is>
          <t>Raspberry Pi (Edge)</t>
        </is>
      </c>
    </row>
    <row r="100" ht="15" customHeight="1" s="70">
      <c r="A100" s="90" t="inlineStr">
        <is>
          <t>IMP-PI-04</t>
        </is>
      </c>
      <c r="B100" s="90" t="inlineStr">
        <is>
          <t>Profils de configuration (avant/pendant/après match)</t>
        </is>
      </c>
      <c r="C100" s="120" t="inlineStr">
        <is>
          <t>Production</t>
        </is>
      </c>
      <c r="D100" s="90" t="inlineStr">
        <is>
          <t>v1.0</t>
        </is>
      </c>
      <c r="E100" s="90" t="inlineStr">
        <is>
          <t>profile-config.service.ts</t>
        </is>
      </c>
      <c r="F100" s="90" t="inlineStr">
        <is>
          <t>Raspberry Pi (Edge)</t>
        </is>
      </c>
    </row>
    <row r="101" ht="15" customHeight="1" s="70">
      <c r="A101" s="89" t="inlineStr">
        <is>
          <t>IMP-PI-05</t>
        </is>
      </c>
      <c r="B101" s="89" t="inlineStr">
        <is>
          <t>Détection statut HDMI</t>
        </is>
      </c>
      <c r="C101" s="120" t="inlineStr">
        <is>
          <t>Production</t>
        </is>
      </c>
      <c r="D101" s="89" t="inlineStr">
        <is>
          <t>v1.0</t>
        </is>
      </c>
      <c r="E101" s="89" t="inlineStr">
        <is>
          <t>hdmi-status.service.ts</t>
        </is>
      </c>
      <c r="F101" s="89" t="inlineStr">
        <is>
          <t>Raspberry Pi (Edge)</t>
        </is>
      </c>
    </row>
    <row r="102" ht="21.75" customHeight="1" s="70">
      <c r="A102" s="90" t="inlineStr">
        <is>
          <t>IMP-PI-06</t>
        </is>
      </c>
      <c r="B102" s="122" t="n"/>
      <c r="C102" s="122" t="n"/>
      <c r="D102" s="122" t="n"/>
      <c r="E102" s="122" t="n"/>
      <c r="F102" s="123" t="n"/>
    </row>
    <row r="103" ht="15" customHeight="1" s="70">
      <c r="A103" s="89" t="inlineStr">
        <is>
          <t>IMP-PI-07</t>
        </is>
      </c>
      <c r="B103" s="89" t="inlineStr">
        <is>
          <t>Récupération erreur vidéo (lecture de secours)</t>
        </is>
      </c>
      <c r="C103" s="120" t="inlineStr">
        <is>
          <t>Production</t>
        </is>
      </c>
      <c r="D103" s="89" t="inlineStr">
        <is>
          <t>v1.0</t>
        </is>
      </c>
      <c r="E103" s="89" t="inlineStr">
        <is>
          <t>video-error-recovery.service.ts</t>
        </is>
      </c>
      <c r="F103" s="89" t="inlineStr">
        <is>
          <t>Raspberry Pi (Edge)</t>
        </is>
      </c>
    </row>
    <row r="104" ht="15" customHeight="1" s="70">
      <c r="A104" s="90" t="inlineStr">
        <is>
          <t>IMP-PI-08</t>
        </is>
      </c>
      <c r="B104" s="90" t="inlineStr">
        <is>
          <t>Filigrane overlay configurable</t>
        </is>
      </c>
      <c r="C104" s="120" t="inlineStr">
        <is>
          <t>Production</t>
        </is>
      </c>
      <c r="D104" s="90" t="inlineStr">
        <is>
          <t>v1.0</t>
        </is>
      </c>
      <c r="E104" s="90" t="inlineStr">
        <is>
          <t>watermark.service.ts</t>
        </is>
      </c>
      <c r="F104" s="90" t="inlineStr">
        <is>
          <t>Raspberry Pi (Edge)</t>
        </is>
      </c>
    </row>
    <row r="105" ht="15" customHeight="1" s="70">
      <c r="A105" s="89" t="inlineStr">
        <is>
          <t>IMP-PI-09</t>
        </is>
      </c>
      <c r="B105" s="89" t="inlineStr">
        <is>
          <t>Sélecteur de filigrane déroulant sur Dashboard</t>
        </is>
      </c>
      <c r="C105" s="120" t="inlineStr">
        <is>
          <t>Production</t>
        </is>
      </c>
      <c r="D105" s="89" t="inlineStr">
        <is>
          <t>v3.57.0</t>
        </is>
      </c>
      <c r="E105" s="89" t="inlineStr">
        <is>
          <t>watermark.component.ts</t>
        </is>
      </c>
      <c r="F105" s="89" t="inlineStr">
        <is>
          <t>Raspberry Pi (Edge)</t>
        </is>
      </c>
    </row>
    <row r="106" ht="15" customHeight="1" s="70">
      <c r="A106" s="90" t="inlineStr">
        <is>
          <t>IMP-PI-10</t>
        </is>
      </c>
      <c r="B106" s="90" t="inlineStr">
        <is>
          <t>Capture d'écran (à la demande depuis télécommande cloud)</t>
        </is>
      </c>
      <c r="C106" s="120" t="inlineStr">
        <is>
          <t>Production</t>
        </is>
      </c>
      <c r="D106" s="90" t="inlineStr">
        <is>
          <t>v1.0</t>
        </is>
      </c>
      <c r="E106" s="90" t="inlineStr">
        <is>
          <t>screenshot.service.ts</t>
        </is>
      </c>
      <c r="F106" s="90" t="inlineStr">
        <is>
          <t>Raspberry Pi (Edge)</t>
        </is>
      </c>
    </row>
    <row r="107" ht="15" customHeight="1" s="70">
      <c r="A107" s="89" t="inlineStr">
        <is>
          <t>IMP-PI-11</t>
        </is>
      </c>
      <c r="B107" s="89" t="inlineStr">
        <is>
          <t>Branding personnalisé par site (logo, couleurs)</t>
        </is>
      </c>
      <c r="C107" s="120" t="inlineStr">
        <is>
          <t>Production</t>
        </is>
      </c>
      <c r="D107" s="89" t="inlineStr">
        <is>
          <t>v1.0</t>
        </is>
      </c>
      <c r="E107" s="89" t="inlineStr">
        <is>
          <t>add-site-branding.sql</t>
        </is>
      </c>
      <c r="F107" s="89" t="inlineStr">
        <is>
          <t>Raspberry Pi (Edge)</t>
        </is>
      </c>
    </row>
    <row r="108" ht="15" customHeight="1" s="70">
      <c r="A108" s="90" t="inlineStr">
        <is>
          <t>IMP-PI-12</t>
        </is>
      </c>
      <c r="B108" s="90" t="inlineStr">
        <is>
          <t>Hostname Pi dynamique dérivé du nom du club</t>
        </is>
      </c>
      <c r="C108" s="120" t="inlineStr">
        <is>
          <t>Production</t>
        </is>
      </c>
      <c r="D108" s="90" t="inlineStr">
        <is>
          <t>v3.51.0</t>
        </is>
      </c>
      <c r="E108" s="90" t="inlineStr">
        <is>
          <t>hostname.service.ts</t>
        </is>
      </c>
      <c r="F108" s="90" t="inlineStr">
        <is>
          <t>Raspberry Pi (Edge)</t>
        </is>
      </c>
    </row>
    <row r="109" ht="15" customHeight="1" s="70">
      <c r="A109" s="89" t="inlineStr">
        <is>
          <t>IMP-PI-13</t>
        </is>
      </c>
      <c r="B109" s="89" t="inlineStr">
        <is>
          <t>Enregistrement : retour auto en boucle après inactivité</t>
        </is>
      </c>
      <c r="C109" s="120" t="inlineStr">
        <is>
          <t>Production</t>
        </is>
      </c>
      <c r="D109" s="89" t="inlineStr">
        <is>
          <t>v3.45.0</t>
        </is>
      </c>
      <c r="E109" s="89" t="inlineStr">
        <is>
          <t>recording.service.ts</t>
        </is>
      </c>
      <c r="F109" s="89" t="inlineStr">
        <is>
          <t>Raspberry Pi (Edge)</t>
        </is>
      </c>
    </row>
    <row r="110" ht="15" customHeight="1" s="70">
      <c r="A110" s="90" t="inlineStr">
        <is>
          <t>IMP-PI-14</t>
        </is>
      </c>
      <c r="B110" s="90" t="inlineStr">
        <is>
          <t>Enregistrement : popup avertissement inactivité avec décompte (ADR-021)</t>
        </is>
      </c>
      <c r="C110" s="120" t="inlineStr">
        <is>
          <t>Production</t>
        </is>
      </c>
      <c r="D110" s="90" t="inlineStr">
        <is>
          <t>v3.38.0</t>
        </is>
      </c>
      <c r="E110" s="90" t="inlineStr">
        <is>
          <t>remote.component.ts</t>
        </is>
      </c>
      <c r="F110" s="90" t="inlineStr">
        <is>
          <t>Raspberry Pi (Edge)</t>
        </is>
      </c>
    </row>
    <row r="111" ht="15" customHeight="1" s="70">
      <c r="A111" s="89" t="inlineStr">
        <is>
          <t>IMP-PI-15</t>
        </is>
      </c>
      <c r="B111" s="89" t="inlineStr">
        <is>
          <t>Bascule mode club/tech + widget statut sync</t>
        </is>
      </c>
      <c r="C111" s="120" t="inlineStr">
        <is>
          <t>Production</t>
        </is>
      </c>
      <c r="D111" s="89" t="inlineStr">
        <is>
          <t>v3.37.0</t>
        </is>
      </c>
      <c r="E111" s="89" t="inlineStr">
        <is>
          <t>admin-panel.component.ts</t>
        </is>
      </c>
      <c r="F111" s="89" t="inlineStr">
        <is>
          <t>Raspberry Pi (Edge)</t>
        </is>
      </c>
    </row>
    <row r="112" ht="15" customHeight="1" s="70">
      <c r="A112" s="90" t="inlineStr">
        <is>
          <t>IMP-PI-16</t>
        </is>
      </c>
      <c r="B112" s="90" t="inlineStr">
        <is>
          <t>Installation apt depuis dashboard via sudoers</t>
        </is>
      </c>
      <c r="C112" s="120" t="inlineStr">
        <is>
          <t>Production</t>
        </is>
      </c>
      <c r="D112" s="90" t="inlineStr">
        <is>
          <t>v3.37.0</t>
        </is>
      </c>
      <c r="E112" s="90" t="inlineStr">
        <is>
          <t>sudoers, admin-server.js</t>
        </is>
      </c>
      <c r="F112" s="90" t="inlineStr">
        <is>
          <t>Raspberry Pi (Edge)</t>
        </is>
      </c>
    </row>
    <row r="113" ht="15" customHeight="1" s="70">
      <c r="A113" s="89" t="inlineStr">
        <is>
          <t>IMP-PI-17</t>
        </is>
      </c>
      <c r="B113" s="89" t="inlineStr">
        <is>
          <t>Contrôle enregistrement analytics + sync TV maître-esclave</t>
        </is>
      </c>
      <c r="C113" s="120" t="inlineStr">
        <is>
          <t>Production</t>
        </is>
      </c>
      <c r="D113" s="89" t="inlineStr">
        <is>
          <t>v3.38.0</t>
        </is>
      </c>
      <c r="E113" s="89" t="inlineStr">
        <is>
          <t>recording.service.ts</t>
        </is>
      </c>
      <c r="F113" s="89" t="inlineStr">
        <is>
          <t>Raspberry Pi (Edge)</t>
        </is>
      </c>
    </row>
    <row r="114" ht="15" customHeight="1" s="70">
      <c r="A114" s="90" t="inlineStr">
        <is>
          <t>IMP-PI-18</t>
        </is>
      </c>
      <c r="B114" s="90" t="inlineStr">
        <is>
          <t>Masquage curseur kiosque (triple protection sur TV)</t>
        </is>
      </c>
      <c r="C114" s="120" t="inlineStr">
        <is>
          <t>Production</t>
        </is>
      </c>
      <c r="D114" s="90" t="inlineStr">
        <is>
          <t>v3.44.2</t>
        </is>
      </c>
      <c r="E114" s="90" t="inlineStr">
        <is>
          <t>kiosk.css</t>
        </is>
      </c>
      <c r="F114" s="90" t="inlineStr">
        <is>
          <t>Raspberry Pi (Edge)</t>
        </is>
      </c>
    </row>
    <row r="115" ht="15" customHeight="1" s="70">
      <c r="A115" s="89" t="inlineStr">
        <is>
          <t>IMP-PI-19</t>
        </is>
      </c>
      <c r="B115" s="89" t="inlineStr">
        <is>
          <t>Transitions TV : détection frame réel (élimine trous noirs sur Pi 5)</t>
        </is>
      </c>
      <c r="C115" s="120" t="inlineStr">
        <is>
          <t>Production</t>
        </is>
      </c>
      <c r="D115" s="89" t="inlineStr">
        <is>
          <t>v3.44.0</t>
        </is>
      </c>
      <c r="E115" s="89" t="inlineStr">
        <is>
          <t>double-buffer-video.service.ts</t>
        </is>
      </c>
      <c r="F115" s="89" t="inlineStr">
        <is>
          <t>Raspberry Pi (Edge)</t>
        </is>
      </c>
    </row>
    <row r="116" ht="15" customHeight="1" s="70">
      <c r="A116" s="90" t="inlineStr">
        <is>
          <t>IMP-PI-20</t>
        </is>
      </c>
      <c r="B116" s="90" t="inlineStr">
        <is>
          <t>Chromium → chromium (compat Raspberry Pi OS Trixie)</t>
        </is>
      </c>
      <c r="C116" s="120" t="inlineStr">
        <is>
          <t>Production</t>
        </is>
      </c>
      <c r="D116" s="90" t="inlineStr">
        <is>
          <t>v1.0</t>
        </is>
      </c>
      <c r="E116" s="90" t="inlineStr">
        <is>
          <t>kiosk.sh</t>
        </is>
      </c>
      <c r="F116" s="90" t="inlineStr">
        <is>
          <t>Raspberry Pi (Edge)</t>
        </is>
      </c>
    </row>
    <row r="117" ht="15" customHeight="1" s="70">
      <c r="A117" s="89" t="inlineStr">
        <is>
          <t>IMP-PI-21</t>
        </is>
      </c>
      <c r="B117" s="89" t="inlineStr">
        <is>
          <t>Programmation boucle vidéo par phase match (pré/pendant/post)</t>
        </is>
      </c>
      <c r="C117" s="120" t="inlineStr">
        <is>
          <t>Production</t>
        </is>
      </c>
      <c r="D117" s="89" t="inlineStr">
        <is>
          <t>v1.0</t>
        </is>
      </c>
      <c r="E117" s="89" t="inlineStr">
        <is>
          <t>loop-scheduler.js</t>
        </is>
      </c>
      <c r="F117" s="89" t="inlineStr">
        <is>
          <t>Raspberry Pi (Edge)</t>
        </is>
      </c>
    </row>
    <row r="118" ht="15" customHeight="1" s="70">
      <c r="A118" s="90" t="inlineStr">
        <is>
          <t>IMP-PI-22</t>
        </is>
      </c>
      <c r="B118" s="90" t="inlineStr">
        <is>
          <t>Disk cache warming (prefetch 3 vidéos)</t>
        </is>
      </c>
      <c r="C118" s="120" t="inlineStr">
        <is>
          <t>Production</t>
        </is>
      </c>
      <c r="D118" s="90" t="inlineStr">
        <is>
          <t>v1.0</t>
        </is>
      </c>
      <c r="E118" s="90" t="inlineStr">
        <is>
          <t>double-buffer-video.service.ts</t>
        </is>
      </c>
      <c r="F118" s="90" t="inlineStr">
        <is>
          <t>Raspberry Pi (Edge)</t>
        </is>
      </c>
    </row>
    <row r="119" ht="15" customHeight="1" s="70">
      <c r="A119" s="89" t="inlineStr">
        <is>
          <t>IMP-PI-23</t>
        </is>
      </c>
      <c r="B119" s="89" t="inlineStr">
        <is>
          <t>GPU cleanup (libération buffers decoder)</t>
        </is>
      </c>
      <c r="C119" s="120" t="inlineStr">
        <is>
          <t>Production</t>
        </is>
      </c>
      <c r="D119" s="89" t="inlineStr">
        <is>
          <t>v1.0</t>
        </is>
      </c>
      <c r="E119" s="89" t="inlineStr">
        <is>
          <t>double-buffer-video.service.ts</t>
        </is>
      </c>
      <c r="F119" s="89" t="inlineStr">
        <is>
          <t>Raspberry Pi (Edge)</t>
        </is>
      </c>
    </row>
    <row r="120" ht="15" customHeight="1" s="70">
      <c r="A120" s="90" t="inlineStr">
        <is>
          <t>IMP-PI-24</t>
        </is>
      </c>
      <c r="B120" s="90" t="inlineStr">
        <is>
          <t>Hardware H.264 decode Pi4 / software Pi5</t>
        </is>
      </c>
      <c r="C120" s="120" t="inlineStr">
        <is>
          <t>Production</t>
        </is>
      </c>
      <c r="D120" s="90" t="inlineStr">
        <is>
          <t>v1.0</t>
        </is>
      </c>
      <c r="E120" s="90" t="inlineStr">
        <is>
          <t>kiosk.sh</t>
        </is>
      </c>
      <c r="F120" s="90" t="inlineStr">
        <is>
          <t>Raspberry Pi (Edge)</t>
        </is>
      </c>
    </row>
    <row r="121" ht="15" customHeight="1" s="70">
      <c r="A121" s="72" t="n"/>
      <c r="B121" s="72" t="n"/>
      <c r="C121" s="72" t="n"/>
      <c r="D121" s="72" t="n"/>
      <c r="E121" s="72" t="n"/>
      <c r="F121" s="72" t="n"/>
    </row>
    <row r="122" ht="15" customHeight="1" s="70">
      <c r="A122" s="130" t="inlineStr">
        <is>
          <t>8. Résilience Réseau &amp; Sync (19)</t>
        </is>
      </c>
    </row>
    <row r="123" ht="15" customHeight="1" s="70">
      <c r="A123" s="89" t="inlineStr">
        <is>
          <t>IMP-NET-01</t>
        </is>
      </c>
      <c r="B123" s="89" t="inlineStr">
        <is>
          <t>Agent de sync bidirectionnel (cloud ↔ Pi)</t>
        </is>
      </c>
      <c r="C123" s="120" t="inlineStr">
        <is>
          <t>Production</t>
        </is>
      </c>
      <c r="D123" s="89" t="inlineStr">
        <is>
          <t>v1.0</t>
        </is>
      </c>
      <c r="E123" s="89" t="inlineStr">
        <is>
          <t>sync-agent/</t>
        </is>
      </c>
      <c r="F123" s="89" t="inlineStr">
        <is>
          <t>Résilience Réseau &amp; Sync</t>
        </is>
      </c>
    </row>
    <row r="124" ht="15" customHeight="1" s="70">
      <c r="A124" s="90" t="inlineStr">
        <is>
          <t>IMP-NET-02</t>
        </is>
      </c>
      <c r="B124" s="90" t="inlineStr">
        <is>
          <t>File d'attente hors-ligne (stocke commandes pendant déconnexion)</t>
        </is>
      </c>
      <c r="C124" s="120" t="inlineStr">
        <is>
          <t>Production</t>
        </is>
      </c>
      <c r="D124" s="90" t="inlineStr">
        <is>
          <t>v1.0</t>
        </is>
      </c>
      <c r="E124" s="90" t="inlineStr">
        <is>
          <t>offline-queue.js</t>
        </is>
      </c>
      <c r="F124" s="90" t="inlineStr">
        <is>
          <t>Résilience Réseau &amp; Sync</t>
        </is>
      </c>
    </row>
    <row r="125" ht="15" customHeight="1" s="70">
      <c r="A125" s="89" t="inlineStr">
        <is>
          <t>IMP-NET-03</t>
        </is>
      </c>
      <c r="B125" s="89" t="inlineStr">
        <is>
          <t>Chien de garde réseau (surveillance réseau)</t>
        </is>
      </c>
      <c r="C125" s="120" t="inlineStr">
        <is>
          <t>Production</t>
        </is>
      </c>
      <c r="D125" s="89" t="inlineStr">
        <is>
          <t>v1.0</t>
        </is>
      </c>
      <c r="E125" s="89" t="inlineStr">
        <is>
          <t>network-watchdog.js</t>
        </is>
      </c>
      <c r="F125" s="89" t="inlineStr">
        <is>
          <t>Résilience Réseau &amp; Sync</t>
        </is>
      </c>
    </row>
    <row r="126" ht="15" customHeight="1" s="70">
      <c r="A126" s="90" t="inlineStr">
        <is>
          <t>IMP-NET-04</t>
        </is>
      </c>
      <c r="B126" s="90" t="inlineStr">
        <is>
          <t>Opérations réseau sécurisées (retry + backoff exponentiel)</t>
        </is>
      </c>
      <c r="C126" s="120" t="inlineStr">
        <is>
          <t>Production</t>
        </is>
      </c>
      <c r="D126" s="90" t="inlineStr">
        <is>
          <t>v1.0</t>
        </is>
      </c>
      <c r="E126" s="90" t="inlineStr">
        <is>
          <t>safe-network-operations.js</t>
        </is>
      </c>
      <c r="F126" s="90" t="inlineStr">
        <is>
          <t>Résilience Réseau &amp; Sync</t>
        </is>
      </c>
    </row>
    <row r="127" ht="15" customHeight="1" s="70">
      <c r="A127" s="89" t="inlineStr">
        <is>
          <t>IMP-NET-05</t>
        </is>
      </c>
      <c r="B127" s="89" t="inlineStr">
        <is>
          <t>Détection statut connexion (en ligne/hors-ligne/dégradé)</t>
        </is>
      </c>
      <c r="C127" s="120" t="inlineStr">
        <is>
          <t>Production</t>
        </is>
      </c>
      <c r="D127" s="89" t="inlineStr">
        <is>
          <t>v1.0</t>
        </is>
      </c>
      <c r="E127" s="89" t="inlineStr">
        <is>
          <t>connection-status.js</t>
        </is>
      </c>
      <c r="F127" s="89" t="inlineStr">
        <is>
          <t>Résilience Réseau &amp; Sync</t>
        </is>
      </c>
    </row>
    <row r="128" ht="15" customHeight="1" s="70">
      <c r="A128" s="90" t="inlineStr">
        <is>
          <t>IMP-NET-06</t>
        </is>
      </c>
      <c r="B128" s="90" t="inlineStr">
        <is>
          <t>Historique de synchronisation</t>
        </is>
      </c>
      <c r="C128" s="120" t="inlineStr">
        <is>
          <t>Production</t>
        </is>
      </c>
      <c r="D128" s="90" t="inlineStr">
        <is>
          <t>v1.0</t>
        </is>
      </c>
      <c r="E128" s="90" t="inlineStr">
        <is>
          <t>sync-history.js</t>
        </is>
      </c>
      <c r="F128" s="90" t="inlineStr">
        <is>
          <t>Résilience Réseau &amp; Sync</t>
        </is>
      </c>
    </row>
    <row r="129" ht="21.75" customHeight="1" s="70">
      <c r="A129" s="89" t="inlineStr">
        <is>
          <t>IMP-NET-07</t>
        </is>
      </c>
      <c r="B129" s="122" t="n"/>
      <c r="C129" s="122" t="n"/>
      <c r="D129" s="122" t="n"/>
      <c r="E129" s="122" t="n"/>
      <c r="F129" s="123" t="n"/>
    </row>
    <row r="130" ht="15" customHeight="1" s="70">
      <c r="A130" s="90" t="inlineStr">
        <is>
          <t>IMP-NET-08</t>
        </is>
      </c>
      <c r="B130" s="90" t="inlineStr">
        <is>
          <t>Mécanisme de rollback pour opérations réseau risquées</t>
        </is>
      </c>
      <c r="C130" s="120" t="inlineStr">
        <is>
          <t>Production</t>
        </is>
      </c>
      <c r="D130" s="90" t="inlineStr">
        <is>
          <t>v2.37.0</t>
        </is>
      </c>
      <c r="E130" s="90" t="inlineStr">
        <is>
          <t>network-watchdog.js</t>
        </is>
      </c>
      <c r="F130" s="90" t="inlineStr">
        <is>
          <t>Résilience Réseau &amp; Sync</t>
        </is>
      </c>
    </row>
    <row r="131" ht="15" customHeight="1" s="70">
      <c r="A131" s="89" t="inlineStr">
        <is>
          <t>IMP-NET-09</t>
        </is>
      </c>
      <c r="B131" s="89" t="inlineStr">
        <is>
          <t>Alertes réseau proactives (mesh, isolation client, stabilité)</t>
        </is>
      </c>
      <c r="C131" s="120" t="inlineStr">
        <is>
          <t>Production</t>
        </is>
      </c>
      <c r="D131" s="89" t="inlineStr">
        <is>
          <t>v2.37.0</t>
        </is>
      </c>
      <c r="E131" s="89" t="inlineStr">
        <is>
          <t>network-alerts.service.ts</t>
        </is>
      </c>
      <c r="F131" s="89" t="inlineStr">
        <is>
          <t>Résilience Réseau &amp; Sync</t>
        </is>
      </c>
    </row>
    <row r="132" ht="15" customHeight="1" s="70">
      <c r="A132" s="90" t="inlineStr">
        <is>
          <t>IMP-NET-10</t>
        </is>
      </c>
      <c r="B132" s="90" t="inlineStr">
        <is>
          <t>Support portail captif Android + compat iOS/Windows/macOS</t>
        </is>
      </c>
      <c r="C132" s="120" t="inlineStr">
        <is>
          <t>Production</t>
        </is>
      </c>
      <c r="D132" s="90" t="inlineStr">
        <is>
          <t>v2.37.0</t>
        </is>
      </c>
      <c r="E132" s="90" t="inlineStr">
        <is>
          <t>captive-portal.sh</t>
        </is>
      </c>
      <c r="F132" s="90" t="inlineStr">
        <is>
          <t>Résilience Réseau &amp; Sync</t>
        </is>
      </c>
    </row>
    <row r="133" ht="15" customHeight="1" s="70">
      <c r="A133" s="89" t="inlineStr">
        <is>
          <t>IMP-NET-11</t>
        </is>
      </c>
      <c r="B133" s="89" t="inlineStr">
        <is>
          <t>WiFi USB RTL8192EU stabilisation 4 couches (driver + udev + boot + watchdog)</t>
        </is>
      </c>
      <c r="C133" s="120" t="inlineStr">
        <is>
          <t>Production</t>
        </is>
      </c>
      <c r="D133" s="89" t="inlineStr">
        <is>
          <t>v3.42.0</t>
        </is>
      </c>
      <c r="E133" s="89" t="inlineStr">
        <is>
          <t>wifi-usb-stabilize.sh</t>
        </is>
      </c>
      <c r="F133" s="89" t="inlineStr">
        <is>
          <t>Résilience Réseau &amp; Sync</t>
        </is>
      </c>
    </row>
    <row r="134" ht="15" customHeight="1" s="70">
      <c r="A134" s="90" t="inlineStr">
        <is>
          <t>IMP-NET-12</t>
        </is>
      </c>
      <c r="B134" s="90" t="inlineStr">
        <is>
          <t>Anti-interférence hotspot (penalty +100 sur sélection canal wlan1)</t>
        </is>
      </c>
      <c r="C134" s="120" t="inlineStr">
        <is>
          <t>Production</t>
        </is>
      </c>
      <c r="D134" s="90" t="inlineStr">
        <is>
          <t>v3.42.0</t>
        </is>
      </c>
      <c r="E134" s="90" t="inlineStr">
        <is>
          <t>wifi-usb-stabilize.sh</t>
        </is>
      </c>
      <c r="F134" s="90" t="inlineStr">
        <is>
          <t>Résilience Réseau &amp; Sync</t>
        </is>
      </c>
    </row>
    <row r="135" ht="15" customHeight="1" s="70">
      <c r="A135" s="89" t="inlineStr">
        <is>
          <t>IMP-NET-13</t>
        </is>
      </c>
      <c r="B135" s="89" t="inlineStr">
        <is>
          <t>WiFi récupération rapide (~2min vs ~5min) + fix boot init</t>
        </is>
      </c>
      <c r="C135" s="120" t="inlineStr">
        <is>
          <t>Production</t>
        </is>
      </c>
      <c r="D135" s="89" t="inlineStr">
        <is>
          <t>v3.58.0</t>
        </is>
      </c>
      <c r="E135" s="89" t="inlineStr">
        <is>
          <t>wifi-recovery.js</t>
        </is>
      </c>
      <c r="F135" s="89" t="inlineStr">
        <is>
          <t>Résilience Réseau &amp; Sync</t>
        </is>
      </c>
    </row>
    <row r="136" ht="15" customHeight="1" s="70">
      <c r="A136" s="90" t="inlineStr">
        <is>
          <t>IMP-NET-14</t>
        </is>
      </c>
      <c r="B136" s="90" t="inlineStr">
        <is>
          <t>Préservation hotspot wlan1 (pas de restart hostapd immédiat)</t>
        </is>
      </c>
      <c r="C136" s="120" t="inlineStr">
        <is>
          <t>Production</t>
        </is>
      </c>
      <c r="D136" s="90" t="inlineStr">
        <is>
          <t>v2.37.0</t>
        </is>
      </c>
      <c r="E136" s="90" t="inlineStr">
        <is>
          <t>fix-hotspot.sh</t>
        </is>
      </c>
      <c r="F136" s="90" t="inlineStr">
        <is>
          <t>Résilience Réseau &amp; Sync</t>
        </is>
      </c>
    </row>
    <row r="137" ht="15" customHeight="1" s="70">
      <c r="A137" s="89" t="inlineStr">
        <is>
          <t>IMP-NET-15</t>
        </is>
      </c>
      <c r="B137" s="89" t="inlineStr">
        <is>
          <t>Écriture atomique sync-agent pour configuration.json + auto-recovery</t>
        </is>
      </c>
      <c r="C137" s="120" t="inlineStr">
        <is>
          <t>Production</t>
        </is>
      </c>
      <c r="D137" s="89" t="inlineStr">
        <is>
          <t>v3.48.0</t>
        </is>
      </c>
      <c r="E137" s="89" t="inlineStr">
        <is>
          <t>sync-agent/config-writer.js</t>
        </is>
      </c>
      <c r="F137" s="89" t="inlineStr">
        <is>
          <t>Résilience Réseau &amp; Sync</t>
        </is>
      </c>
    </row>
    <row r="138" ht="15" customHeight="1" s="70">
      <c r="A138" s="90" t="inlineStr">
        <is>
          <t>IMP-NET-16</t>
        </is>
      </c>
      <c r="B138" s="90" t="inlineStr">
        <is>
          <t>Socket local persistant sync-agent (remplace éphémère)</t>
        </is>
      </c>
      <c r="C138" s="120" t="inlineStr">
        <is>
          <t>Production</t>
        </is>
      </c>
      <c r="D138" s="90" t="inlineStr">
        <is>
          <t>v3.37.0</t>
        </is>
      </c>
      <c r="E138" s="90" t="inlineStr">
        <is>
          <t>sync-agent/socket.js</t>
        </is>
      </c>
      <c r="F138" s="90" t="inlineStr">
        <is>
          <t>Résilience Réseau &amp; Sync</t>
        </is>
      </c>
    </row>
    <row r="139" ht="15" customHeight="1" s="70">
      <c r="A139" s="89" t="inlineStr">
        <is>
          <t>IMP-NET-17</t>
        </is>
      </c>
      <c r="B139" s="89" t="inlineStr">
        <is>
          <t>Configuration WiFi client à distance depuis dashboard central</t>
        </is>
      </c>
      <c r="C139" s="120" t="inlineStr">
        <is>
          <t>Production</t>
        </is>
      </c>
      <c r="D139" s="89" t="inlineStr">
        <is>
          <t>v3.36.0</t>
        </is>
      </c>
      <c r="E139" s="89" t="inlineStr">
        <is>
          <t>wifi-config.controller.ts</t>
        </is>
      </c>
      <c r="F139" s="89" t="inlineStr">
        <is>
          <t>Résilience Réseau &amp; Sync</t>
        </is>
      </c>
    </row>
    <row r="140" ht="15" customHeight="1" s="70">
      <c r="A140" s="90" t="inlineStr">
        <is>
          <t>IMP-NET-18</t>
        </is>
      </c>
      <c r="B140" s="90" t="inlineStr">
        <is>
          <t>Zombie detection (connected flag vs socket)</t>
        </is>
      </c>
      <c r="C140" s="120" t="inlineStr">
        <is>
          <t>Production</t>
        </is>
      </c>
      <c r="D140" s="90" t="inlineStr">
        <is>
          <t>v1.0</t>
        </is>
      </c>
      <c r="E140" s="90" t="inlineStr">
        <is>
          <t>sync-agent/</t>
        </is>
      </c>
      <c r="F140" s="90" t="inlineStr">
        <is>
          <t>Résilience Réseau &amp; Sync</t>
        </is>
      </c>
    </row>
    <row r="141" ht="15" customHeight="1" s="70">
      <c r="A141" s="89" t="inlineStr">
        <is>
          <t>IMP-NET-19</t>
        </is>
      </c>
      <c r="B141" s="89" t="inlineStr">
        <is>
          <t>Grace period persistence (survit OTA restart)</t>
        </is>
      </c>
      <c r="C141" s="120" t="inlineStr">
        <is>
          <t>Production</t>
        </is>
      </c>
      <c r="D141" s="89" t="inlineStr">
        <is>
          <t>v3.35.1</t>
        </is>
      </c>
      <c r="E141" s="89" t="inlineStr">
        <is>
          <t>network-watchdog.js</t>
        </is>
      </c>
      <c r="F141" s="89" t="inlineStr">
        <is>
          <t>Résilience Réseau &amp; Sync</t>
        </is>
      </c>
    </row>
    <row r="142" ht="15" customHeight="1" s="70">
      <c r="A142" s="72" t="n"/>
      <c r="B142" s="72" t="n"/>
      <c r="C142" s="72" t="n"/>
      <c r="D142" s="72" t="n"/>
      <c r="E142" s="72" t="n"/>
      <c r="F142" s="72" t="n"/>
    </row>
    <row r="143" ht="15" customHeight="1" s="70">
      <c r="A143" s="131" t="inlineStr">
        <is>
          <t>9. Monitoring &amp; Alertes (23)</t>
        </is>
      </c>
    </row>
    <row r="144" ht="15" customHeight="1" s="70">
      <c r="A144" s="89" t="inlineStr">
        <is>
          <t>IMP-ALR-01</t>
        </is>
      </c>
      <c r="B144" s="89" t="inlineStr">
        <is>
          <t>Alertes réactives (CRUD, règles, escalade)</t>
        </is>
      </c>
      <c r="C144" s="120" t="inlineStr">
        <is>
          <t>Production</t>
        </is>
      </c>
      <c r="D144" s="89" t="inlineStr">
        <is>
          <t>v1.0</t>
        </is>
      </c>
      <c r="E144" s="89" t="inlineStr">
        <is>
          <t>alerting.service.ts</t>
        </is>
      </c>
      <c r="F144" s="89" t="inlineStr">
        <is>
          <t>Monitoring &amp; Alertes</t>
        </is>
      </c>
    </row>
    <row r="145" ht="15" customHeight="1" s="70">
      <c r="A145" s="90" t="inlineStr">
        <is>
          <t>IMP-ALR-02</t>
        </is>
      </c>
      <c r="B145" s="90" t="inlineStr">
        <is>
          <t>Alertes prédictives (disque, CPU, WiFi, inactivité)</t>
        </is>
      </c>
      <c r="C145" s="120" t="inlineStr">
        <is>
          <t>Production</t>
        </is>
      </c>
      <c r="D145" s="90" t="inlineStr">
        <is>
          <t>v1.0</t>
        </is>
      </c>
      <c r="E145" s="90" t="inlineStr">
        <is>
          <t>predictive-alerts.service.ts</t>
        </is>
      </c>
      <c r="F145" s="90" t="inlineStr">
        <is>
          <t>Monitoring &amp; Alertes</t>
        </is>
      </c>
    </row>
    <row r="146" ht="15" customHeight="1" s="70">
      <c r="A146" s="89" t="inlineStr">
        <is>
          <t>IMP-ALR-03</t>
        </is>
      </c>
      <c r="B146" s="89" t="inlineStr">
        <is>
          <t>Alertes réseau (qualité WiFi, déconnexions)</t>
        </is>
      </c>
      <c r="C146" s="120" t="inlineStr">
        <is>
          <t>Production</t>
        </is>
      </c>
      <c r="D146" s="89" t="inlineStr">
        <is>
          <t>v1.0</t>
        </is>
      </c>
      <c r="E146" s="89" t="inlineStr">
        <is>
          <t>network-alerts.service.ts</t>
        </is>
      </c>
      <c r="F146" s="89" t="inlineStr">
        <is>
          <t>Monitoring &amp; Alertes</t>
        </is>
      </c>
    </row>
    <row r="147" ht="15" customHeight="1" s="70">
      <c r="A147" s="90" t="inlineStr">
        <is>
          <t>IMP-ALR-04</t>
        </is>
      </c>
      <c r="B147" s="90" t="inlineStr">
        <is>
          <t>Vérifications santé système</t>
        </is>
      </c>
      <c r="C147" s="120" t="inlineStr">
        <is>
          <t>Production</t>
        </is>
      </c>
      <c r="D147" s="90" t="inlineStr">
        <is>
          <t>v1.0</t>
        </is>
      </c>
      <c r="E147" s="90" t="inlineStr">
        <is>
          <t>health.service.ts</t>
        </is>
      </c>
      <c r="F147" s="90" t="inlineStr">
        <is>
          <t>Monitoring &amp; Alertes</t>
        </is>
      </c>
    </row>
    <row r="148" ht="15" customHeight="1" s="70">
      <c r="A148" s="89" t="inlineStr">
        <is>
          <t>IMP-ALR-05</t>
        </is>
      </c>
      <c r="B148" s="89" t="inlineStr">
        <is>
          <t>Objectifs &amp; alertes clubs (7 métriques, 3 périodes)</t>
        </is>
      </c>
      <c r="C148" s="120" t="inlineStr">
        <is>
          <t>Production</t>
        </is>
      </c>
      <c r="D148" s="89" t="inlineStr">
        <is>
          <t>v1.0</t>
        </is>
      </c>
      <c r="E148" s="89" t="inlineStr">
        <is>
          <t>objectives.controller.ts</t>
        </is>
      </c>
      <c r="F148" s="89" t="inlineStr">
        <is>
          <t>Monitoring &amp; Alertes</t>
        </is>
      </c>
    </row>
    <row r="149" ht="15" customHeight="1" s="70">
      <c r="A149" s="90" t="inlineStr">
        <is>
          <t>IMP-ALR-06</t>
        </is>
      </c>
      <c r="B149" s="90" t="inlineStr">
        <is>
          <t>Monitoring ventilateur de bout en bout (alertes + Prometheus + Grafana)</t>
        </is>
      </c>
      <c r="C149" s="120" t="inlineStr">
        <is>
          <t>Production</t>
        </is>
      </c>
      <c r="D149" s="90" t="inlineStr">
        <is>
          <t>v3.52.0</t>
        </is>
      </c>
      <c r="E149" s="90" t="inlineStr">
        <is>
          <t>fan-monitoring.service.ts</t>
        </is>
      </c>
      <c r="F149" s="90" t="inlineStr">
        <is>
          <t>Monitoring &amp; Alertes</t>
        </is>
      </c>
    </row>
    <row r="150" ht="15" customHeight="1" s="70">
      <c r="A150" s="89" t="inlineStr">
        <is>
          <t>IMP-ALR-07</t>
        </is>
      </c>
      <c r="B150" s="89" t="inlineStr">
        <is>
          <t>Notification Slack "Site en ligne" sur reconnexion Pi</t>
        </is>
      </c>
      <c r="C150" s="120" t="inlineStr">
        <is>
          <t>Production</t>
        </is>
      </c>
      <c r="D150" s="89" t="inlineStr">
        <is>
          <t>v3.49.0</t>
        </is>
      </c>
      <c r="E150" s="89" t="inlineStr">
        <is>
          <t>slack.service.ts</t>
        </is>
      </c>
      <c r="F150" s="89" t="inlineStr">
        <is>
          <t>Monitoring &amp; Alertes</t>
        </is>
      </c>
    </row>
    <row r="151" ht="21.75" customHeight="1" s="70">
      <c r="A151" s="90" t="inlineStr">
        <is>
          <t>IMP-ALR-08</t>
        </is>
      </c>
      <c r="B151" s="122" t="n"/>
      <c r="C151" s="122" t="n"/>
      <c r="D151" s="122" t="n"/>
      <c r="E151" s="122" t="n"/>
      <c r="F151" s="123" t="n"/>
    </row>
    <row r="152" ht="15" customHeight="1" s="70">
      <c r="A152" s="89" t="inlineStr">
        <is>
          <t>IMP-ALR-09</t>
        </is>
      </c>
      <c r="B152" s="89" t="inlineStr">
        <is>
          <t>Notifications webhook pour alertes</t>
        </is>
      </c>
      <c r="C152" s="120" t="inlineStr">
        <is>
          <t>Production</t>
        </is>
      </c>
      <c r="D152" s="89" t="inlineStr">
        <is>
          <t>v1.0</t>
        </is>
      </c>
      <c r="E152" s="89" t="inlineStr">
        <is>
          <t>webhook.service.ts</t>
        </is>
      </c>
      <c r="F152" s="89" t="inlineStr">
        <is>
          <t>Monitoring &amp; Alertes</t>
        </is>
      </c>
    </row>
    <row r="153" ht="15" customHeight="1" s="70">
      <c r="A153" s="90" t="inlineStr">
        <is>
          <t>IMP-ALR-10</t>
        </is>
      </c>
      <c r="B153" s="90" t="inlineStr">
        <is>
          <t>Escalade superviseur pour alertes critiques</t>
        </is>
      </c>
      <c r="C153" s="120" t="inlineStr">
        <is>
          <t>Production</t>
        </is>
      </c>
      <c r="D153" s="90" t="inlineStr">
        <is>
          <t>v1.0</t>
        </is>
      </c>
      <c r="E153" s="90" t="inlineStr">
        <is>
          <t>alerting.service.ts</t>
        </is>
      </c>
      <c r="F153" s="90" t="inlineStr">
        <is>
          <t>Monitoring &amp; Alertes</t>
        </is>
      </c>
    </row>
    <row r="154" ht="15" customHeight="1" s="70">
      <c r="A154" s="89" t="inlineStr">
        <is>
          <t>IMP-ALR-11</t>
        </is>
      </c>
      <c r="B154" s="89" t="inlineStr">
        <is>
          <t>Anti-flapping cooldown Slack + arrêt propre</t>
        </is>
      </c>
      <c r="C154" s="120" t="inlineStr">
        <is>
          <t>Production</t>
        </is>
      </c>
      <c r="D154" s="89" t="inlineStr">
        <is>
          <t>v3.47.2</t>
        </is>
      </c>
      <c r="E154" s="89" t="inlineStr">
        <is>
          <t>alerting.service.ts</t>
        </is>
      </c>
      <c r="F154" s="89" t="inlineStr">
        <is>
          <t>Monitoring &amp; Alertes</t>
        </is>
      </c>
    </row>
    <row r="155" ht="15" customHeight="1" s="70">
      <c r="A155" s="90" t="inlineStr">
        <is>
          <t>IMP-ALR-12</t>
        </is>
      </c>
      <c r="B155" s="90" t="inlineStr">
        <is>
          <t>Détection crash kiosque de bout en bout + lien télécommande cloud</t>
        </is>
      </c>
      <c r="C155" s="120" t="inlineStr">
        <is>
          <t>Production</t>
        </is>
      </c>
      <c r="D155" s="90" t="inlineStr">
        <is>
          <t>v3.44.0</t>
        </is>
      </c>
      <c r="E155" s="90" t="inlineStr">
        <is>
          <t>kiosk-monitor.service.ts</t>
        </is>
      </c>
      <c r="F155" s="90" t="inlineStr">
        <is>
          <t>Monitoring &amp; Alertes</t>
        </is>
      </c>
    </row>
    <row r="156" ht="15" customHeight="1" s="70">
      <c r="A156" s="89" t="inlineStr">
        <is>
          <t>IMP-ALR-13</t>
        </is>
      </c>
      <c r="B156" s="89" t="inlineStr">
        <is>
          <t>Pipeline métriques qualité transitions vidéo</t>
        </is>
      </c>
      <c r="C156" s="120" t="inlineStr">
        <is>
          <t>Production</t>
        </is>
      </c>
      <c r="D156" s="89" t="inlineStr">
        <is>
          <t>v3.44.0</t>
        </is>
      </c>
      <c r="E156" s="89" t="inlineStr">
        <is>
          <t>metrics.service.ts</t>
        </is>
      </c>
      <c r="F156" s="89" t="inlineStr">
        <is>
          <t>Monitoring &amp; Alertes</t>
        </is>
      </c>
    </row>
    <row r="157" ht="15" customHeight="1" s="70">
      <c r="A157" s="90" t="inlineStr">
        <is>
          <t>IMP-ALR-14</t>
        </is>
      </c>
      <c r="B157" s="90" t="inlineStr">
        <is>
          <t>Métrique Prometheus déconnexion Socket + panels Grafana</t>
        </is>
      </c>
      <c r="C157" s="120" t="inlineStr">
        <is>
          <t>Production</t>
        </is>
      </c>
      <c r="D157" s="90" t="inlineStr">
        <is>
          <t>v3.37.0</t>
        </is>
      </c>
      <c r="E157" s="90" t="inlineStr">
        <is>
          <t>metrics.service.ts</t>
        </is>
      </c>
      <c r="F157" s="90" t="inlineStr">
        <is>
          <t>Monitoring &amp; Alertes</t>
        </is>
      </c>
    </row>
    <row r="158" ht="15" customHeight="1" s="70">
      <c r="A158" s="89" t="inlineStr">
        <is>
          <t>IMP-ALR-15</t>
        </is>
      </c>
      <c r="B158" s="89" t="inlineStr">
        <is>
          <t>Métriques pool connexions DB (actif/inactif)</t>
        </is>
      </c>
      <c r="C158" s="120" t="inlineStr">
        <is>
          <t>Production</t>
        </is>
      </c>
      <c r="D158" s="89" t="inlineStr">
        <is>
          <t>v3.37.0</t>
        </is>
      </c>
      <c r="E158" s="89" t="inlineStr">
        <is>
          <t>metrics.service.ts</t>
        </is>
      </c>
      <c r="F158" s="89" t="inlineStr">
        <is>
          <t>Monitoring &amp; Alertes</t>
        </is>
      </c>
    </row>
    <row r="159" ht="15" customHeight="1" s="70">
      <c r="A159" s="90" t="inlineStr">
        <is>
          <t>IMP-ALR-16</t>
        </is>
      </c>
      <c r="B159" s="90" t="inlineStr">
        <is>
          <t>Dashboards Grafana Cloud avec auth Bearer sur /metrics</t>
        </is>
      </c>
      <c r="C159" s="120" t="inlineStr">
        <is>
          <t>Production</t>
        </is>
      </c>
      <c r="D159" s="90" t="inlineStr">
        <is>
          <t>v3.37.0</t>
        </is>
      </c>
      <c r="E159" s="90" t="inlineStr">
        <is>
          <t>metrics.middleware.ts</t>
        </is>
      </c>
      <c r="F159" s="90" t="inlineStr">
        <is>
          <t>Monitoring &amp; Alertes</t>
        </is>
      </c>
    </row>
    <row r="160" ht="15" customHeight="1" s="70">
      <c r="A160" s="89" t="inlineStr">
        <is>
          <t>IMP-ALR-17</t>
        </is>
      </c>
      <c r="B160" s="89" t="inlineStr">
        <is>
          <t>3 dashboards Grafana restructurés + mémoire/prédictif/facturation</t>
        </is>
      </c>
      <c r="C160" s="120" t="inlineStr">
        <is>
          <t>Production</t>
        </is>
      </c>
      <c r="D160" s="89" t="inlineStr">
        <is>
          <t>v3.37.0</t>
        </is>
      </c>
      <c r="E160" s="89" t="inlineStr">
        <is>
          <t>grafana/</t>
        </is>
      </c>
      <c r="F160" s="89" t="inlineStr">
        <is>
          <t>Monitoring &amp; Alertes</t>
        </is>
      </c>
    </row>
    <row r="161" ht="15" customHeight="1" s="70">
      <c r="A161" s="90" t="inlineStr">
        <is>
          <t>IMP-ALR-18</t>
        </is>
      </c>
      <c r="B161" s="90" t="inlineStr">
        <is>
          <t>Lacunes supervision complétées (4 métriques, 3 alertes, kiosque Grafana)</t>
        </is>
      </c>
      <c r="C161" s="120" t="inlineStr">
        <is>
          <t>Production</t>
        </is>
      </c>
      <c r="D161" s="90" t="inlineStr">
        <is>
          <t>v3.37.0</t>
        </is>
      </c>
      <c r="E161" s="90" t="inlineStr">
        <is>
          <t>monitoring/</t>
        </is>
      </c>
      <c r="F161" s="90" t="inlineStr">
        <is>
          <t>Monitoring &amp; Alertes</t>
        </is>
      </c>
    </row>
    <row r="162" ht="15" customHeight="1" s="70">
      <c r="A162" s="89" t="inlineStr">
        <is>
          <t>IMP-ALR-19</t>
        </is>
      </c>
      <c r="B162" s="89" t="inlineStr">
        <is>
          <t>Métriques FTP, sync, rate-limit + logs corrélés</t>
        </is>
      </c>
      <c r="C162" s="120" t="inlineStr">
        <is>
          <t>Production</t>
        </is>
      </c>
      <c r="D162" s="89" t="inlineStr">
        <is>
          <t>v3.37.0</t>
        </is>
      </c>
      <c r="E162" s="89" t="inlineStr">
        <is>
          <t>metrics.service.ts</t>
        </is>
      </c>
      <c r="F162" s="89" t="inlineStr">
        <is>
          <t>Monitoring &amp; Alertes</t>
        </is>
      </c>
    </row>
    <row r="163" ht="15" customHeight="1" s="70">
      <c r="A163" s="90" t="inlineStr">
        <is>
          <t>IMP-ALR-20</t>
        </is>
      </c>
      <c r="B163" s="90" t="inlineStr">
        <is>
          <t>Journalisation centralisée Logtail/Better Stack</t>
        </is>
      </c>
      <c r="C163" s="120" t="inlineStr">
        <is>
          <t>Production</t>
        </is>
      </c>
      <c r="D163" s="90" t="inlineStr">
        <is>
          <t>v1.0</t>
        </is>
      </c>
      <c r="E163" s="90" t="inlineStr">
        <is>
          <t>logtail.service.ts</t>
        </is>
      </c>
      <c r="F163" s="90" t="inlineStr">
        <is>
          <t>Monitoring &amp; Alertes</t>
        </is>
      </c>
    </row>
    <row r="164" ht="15" customHeight="1" s="70">
      <c r="A164" s="89" t="inlineStr">
        <is>
          <t>IMP-ALR-21</t>
        </is>
      </c>
      <c r="B164" s="89" t="inlineStr">
        <is>
          <t>3 seuils d'alerte horaires avec flux de données</t>
        </is>
      </c>
      <c r="C164" s="120" t="inlineStr">
        <is>
          <t>Production</t>
        </is>
      </c>
      <c r="D164" s="89" t="inlineStr">
        <is>
          <t>v3.35.0</t>
        </is>
      </c>
      <c r="E164" s="89" t="inlineStr">
        <is>
          <t>alerting.service.ts</t>
        </is>
      </c>
      <c r="F164" s="89" t="inlineStr">
        <is>
          <t>Monitoring &amp; Alertes</t>
        </is>
      </c>
    </row>
    <row r="165" ht="15" customHeight="1" s="70">
      <c r="A165" s="90" t="inlineStr">
        <is>
          <t>IMP-ALR-22</t>
        </is>
      </c>
      <c r="B165" s="90" t="inlineStr">
        <is>
          <t>Smoke tests pour monitoring + métriques réseau Pi</t>
        </is>
      </c>
      <c r="C165" s="120" t="inlineStr">
        <is>
          <t>Production</t>
        </is>
      </c>
      <c r="D165" s="90" t="inlineStr">
        <is>
          <t>v3.37.0</t>
        </is>
      </c>
      <c r="E165" s="90" t="inlineStr">
        <is>
          <t>smoke/</t>
        </is>
      </c>
      <c r="F165" s="90" t="inlineStr">
        <is>
          <t>Monitoring &amp; Alertes</t>
        </is>
      </c>
    </row>
    <row r="166" ht="15" customHeight="1" s="70">
      <c r="A166" s="89" t="inlineStr">
        <is>
          <t>IMP-ALR-23</t>
        </is>
      </c>
      <c r="B166" s="89" t="inlineStr">
        <is>
          <t>18 seuils alertes (6 réactifs + 9 prédictifs + 3 kiosk)</t>
        </is>
      </c>
      <c r="C166" s="120" t="inlineStr">
        <is>
          <t>Production</t>
        </is>
      </c>
      <c r="D166" s="89" t="inlineStr">
        <is>
          <t>v3.37.0</t>
        </is>
      </c>
      <c r="E166" s="89" t="inlineStr">
        <is>
          <t>alerting.service.ts</t>
        </is>
      </c>
      <c r="F166" s="89" t="inlineStr">
        <is>
          <t>Monitoring &amp; Alertes</t>
        </is>
      </c>
    </row>
    <row r="167" ht="15" customHeight="1" s="70">
      <c r="A167" s="72" t="n"/>
      <c r="B167" s="72" t="n"/>
      <c r="C167" s="72" t="n"/>
      <c r="D167" s="72" t="n"/>
      <c r="E167" s="72" t="n"/>
      <c r="F167" s="72" t="n"/>
    </row>
    <row r="168" ht="15" customHeight="1" s="70">
      <c r="A168" s="132" t="inlineStr">
        <is>
          <t>10. Administration &amp; Infrastructure (24)</t>
        </is>
      </c>
    </row>
    <row r="169" ht="15" customHeight="1" s="70">
      <c r="A169" s="89" t="inlineStr">
        <is>
          <t>IMP-ADM-01</t>
        </is>
      </c>
      <c r="B169" s="89" t="inlineStr">
        <is>
          <t>Système de jobs admin (build, deploy, sync, maintenance)</t>
        </is>
      </c>
      <c r="C169" s="120" t="inlineStr">
        <is>
          <t>Production</t>
        </is>
      </c>
      <c r="D169" s="89" t="inlineStr">
        <is>
          <t>v1.0</t>
        </is>
      </c>
      <c r="E169" s="89" t="inlineStr">
        <is>
          <t>admin-ops.service.ts</t>
        </is>
      </c>
      <c r="F169" s="89" t="inlineStr">
        <is>
          <t>Administration &amp; Infrastructure</t>
        </is>
      </c>
    </row>
    <row r="170" ht="15" customHeight="1" s="70">
      <c r="A170" s="90" t="inlineStr">
        <is>
          <t>IMP-ADM-02</t>
        </is>
      </c>
      <c r="B170" s="90" t="inlineStr">
        <is>
          <t>Télécommande cloud (protégée par PIN, rate-limited)</t>
        </is>
      </c>
      <c r="C170" s="120" t="inlineStr">
        <is>
          <t>Production</t>
        </is>
      </c>
      <c r="D170" s="90" t="inlineStr">
        <is>
          <t>v1.0</t>
        </is>
      </c>
      <c r="E170" s="90" t="inlineStr">
        <is>
          <t>remote.controller.ts</t>
        </is>
      </c>
      <c r="F170" s="90" t="inlineStr">
        <is>
          <t>Administration &amp; Infrastructure</t>
        </is>
      </c>
    </row>
    <row r="171" ht="15" customHeight="1" s="70">
      <c r="A171" s="89" t="inlineStr">
        <is>
          <t>IMP-ADM-03</t>
        </is>
      </c>
      <c r="B171" s="89" t="inlineStr">
        <is>
          <t>Groupes de sites (regroupement logique)</t>
        </is>
      </c>
      <c r="C171" s="120" t="inlineStr">
        <is>
          <t>Production</t>
        </is>
      </c>
      <c r="D171" s="89" t="inlineStr">
        <is>
          <t>v1.0</t>
        </is>
      </c>
      <c r="E171" s="89" t="inlineStr">
        <is>
          <t>groups.controller.ts</t>
        </is>
      </c>
      <c r="F171" s="89" t="inlineStr">
        <is>
          <t>Administration &amp; Infrastructure</t>
        </is>
      </c>
    </row>
    <row r="172" ht="15" customHeight="1" s="70">
      <c r="A172" s="90" t="inlineStr">
        <is>
          <t>IMP-ADM-04</t>
        </is>
      </c>
      <c r="B172" s="90" t="inlineStr">
        <is>
          <t>Email transactionnel (alertes, reset, notifications)</t>
        </is>
      </c>
      <c r="C172" s="120" t="inlineStr">
        <is>
          <t>Production</t>
        </is>
      </c>
      <c r="D172" s="90" t="inlineStr">
        <is>
          <t>v1.0</t>
        </is>
      </c>
      <c r="E172" s="90" t="inlineStr">
        <is>
          <t>email.service.ts</t>
        </is>
      </c>
      <c r="F172" s="90" t="inlineStr">
        <is>
          <t>Administration &amp; Infrastructure</t>
        </is>
      </c>
    </row>
    <row r="173" ht="15" customHeight="1" s="70">
      <c r="A173" s="89" t="inlineStr">
        <is>
          <t>IMP-ADM-05</t>
        </is>
      </c>
      <c r="B173" s="89" t="inlineStr">
        <is>
          <t>Gestionnaire mémoire (prévention fuites mémoire)</t>
        </is>
      </c>
      <c r="C173" s="120" t="inlineStr">
        <is>
          <t>Production</t>
        </is>
      </c>
      <c r="D173" s="89" t="inlineStr">
        <is>
          <t>v1.0</t>
        </is>
      </c>
      <c r="E173" s="89" t="inlineStr">
        <is>
          <t>memory-manager.service.ts</t>
        </is>
      </c>
      <c r="F173" s="89" t="inlineStr">
        <is>
          <t>Administration &amp; Infrastructure</t>
        </is>
      </c>
    </row>
    <row r="174" ht="15" customHeight="1" s="70">
      <c r="A174" s="90" t="inlineStr">
        <is>
          <t>IMP-ADM-06</t>
        </is>
      </c>
      <c r="B174" s="90" t="inlineStr">
        <is>
          <t>Cache mémoire (TTL 60s)</t>
        </is>
      </c>
      <c r="C174" s="120" t="inlineStr">
        <is>
          <t>Production</t>
        </is>
      </c>
      <c r="D174" s="90" t="inlineStr">
        <is>
          <t>v1.0</t>
        </is>
      </c>
      <c r="E174" s="90" t="inlineStr">
        <is>
          <t>memory-cache.service.ts</t>
        </is>
      </c>
      <c r="F174" s="90" t="inlineStr">
        <is>
          <t>Administration &amp; Infrastructure</t>
        </is>
      </c>
    </row>
    <row r="175" ht="15" customHeight="1" s="70">
      <c r="A175" s="89" t="inlineStr">
        <is>
          <t>IMP-ADM-07</t>
        </is>
      </c>
      <c r="B175" s="89" t="inlineStr">
        <is>
          <t>Nettoyage automatique rétention données</t>
        </is>
      </c>
      <c r="C175" s="120" t="inlineStr">
        <is>
          <t>Production</t>
        </is>
      </c>
      <c r="D175" s="89" t="inlineStr">
        <is>
          <t>v1.0</t>
        </is>
      </c>
      <c r="E175" s="89" t="inlineStr">
        <is>
          <t>data-retention-cleanup.sql</t>
        </is>
      </c>
      <c r="F175" s="89" t="inlineStr">
        <is>
          <t>Administration &amp; Infrastructure</t>
        </is>
      </c>
    </row>
    <row r="176" ht="15" customHeight="1" s="70">
      <c r="A176" s="90" t="inlineStr">
        <is>
          <t>IMP-ADM-08</t>
        </is>
      </c>
      <c r="B176" s="90" t="inlineStr">
        <is>
          <t>Slugs URL de site (URLs lisibles)</t>
        </is>
      </c>
      <c r="C176" s="120" t="inlineStr">
        <is>
          <t>Production</t>
        </is>
      </c>
      <c r="D176" s="90" t="inlineStr">
        <is>
          <t>v1.0</t>
        </is>
      </c>
      <c r="E176" s="90" t="inlineStr">
        <is>
          <t>add-hostname-slug.sql</t>
        </is>
      </c>
      <c r="F176" s="90" t="inlineStr">
        <is>
          <t>Administration &amp; Infrastructure</t>
        </is>
      </c>
    </row>
    <row r="177" ht="21.75" customHeight="1" s="70">
      <c r="A177" s="89" t="inlineStr">
        <is>
          <t>IMP-ADM-09</t>
        </is>
      </c>
      <c r="B177" s="122" t="n"/>
      <c r="C177" s="122" t="n"/>
      <c r="D177" s="122" t="n"/>
      <c r="E177" s="122" t="n"/>
      <c r="F177" s="123" t="n"/>
    </row>
    <row r="178" ht="15" customHeight="1" s="70">
      <c r="A178" s="90" t="inlineStr">
        <is>
          <t>IMP-ADM-10</t>
        </is>
      </c>
      <c r="B178" s="90" t="inlineStr">
        <is>
          <t>Documentation OpenAPI Swagger (30+ endpoints)</t>
        </is>
      </c>
      <c r="C178" s="120" t="inlineStr">
        <is>
          <t>Production</t>
        </is>
      </c>
      <c r="D178" s="90" t="inlineStr">
        <is>
          <t>v1.0</t>
        </is>
      </c>
      <c r="E178" s="90" t="inlineStr">
        <is>
          <t>swagger.ts</t>
        </is>
      </c>
      <c r="F178" s="90" t="inlineStr">
        <is>
          <t>Administration &amp; Infrastructure</t>
        </is>
      </c>
    </row>
    <row r="179" ht="21.75" customHeight="1" s="70">
      <c r="A179" s="89" t="inlineStr">
        <is>
          <t>IMP-ADM-11</t>
        </is>
      </c>
      <c r="B179" s="89" t="inlineStr">
        <is>
          <t>Vue carte des sites (Leaflet, statut temps réel)</t>
        </is>
      </c>
      <c r="C179" s="120" t="inlineStr">
        <is>
          <t>Production</t>
        </is>
      </c>
      <c r="D179" s="89" t="inlineStr">
        <is>
          <t>v1.0</t>
        </is>
      </c>
      <c r="E179" s="89" t="inlineStr">
        <is>
          <t>sites-map.component.ts</t>
        </is>
      </c>
      <c r="F179" s="89" t="inlineStr">
        <is>
          <t>Administration &amp; Infrastructure</t>
        </is>
      </c>
    </row>
    <row r="180" ht="21.75" customHeight="1" s="70">
      <c r="A180" s="90" t="inlineStr">
        <is>
          <t>IMP-ADM-12</t>
        </is>
      </c>
      <c r="B180" s="90" t="inlineStr">
        <is>
          <t>Bundle de diagnostic (logs kernel dmesg, lsusb, logs étendus 24h)</t>
        </is>
      </c>
      <c r="C180" s="120" t="inlineStr">
        <is>
          <t>Production</t>
        </is>
      </c>
      <c r="D180" s="90" t="inlineStr">
        <is>
          <t>v3.32.0</t>
        </is>
      </c>
      <c r="E180" s="90" t="inlineStr">
        <is>
          <t>debug-bundle.sh</t>
        </is>
      </c>
      <c r="F180" s="90" t="inlineStr">
        <is>
          <t>Administration &amp; Infrastructure</t>
        </is>
      </c>
    </row>
    <row r="181" ht="21.75" customHeight="1" s="70">
      <c r="A181" s="89" t="inlineStr">
        <is>
          <t>IMP-ADM-13</t>
        </is>
      </c>
      <c r="B181" s="89" t="inlineStr">
        <is>
          <t>Générateur QR code avec bouton accès télécommande cloud</t>
        </is>
      </c>
      <c r="C181" s="120" t="inlineStr">
        <is>
          <t>Production</t>
        </is>
      </c>
      <c r="D181" s="89" t="inlineStr">
        <is>
          <t>v3.38.0</t>
        </is>
      </c>
      <c r="E181" s="89" t="inlineStr">
        <is>
          <t>qr-code.component.ts</t>
        </is>
      </c>
      <c r="F181" s="89" t="inlineStr">
        <is>
          <t>Administration &amp; Infrastructure</t>
        </is>
      </c>
    </row>
    <row r="182" ht="21.75" customHeight="1" s="70">
      <c r="A182" s="90" t="inlineStr">
        <is>
          <t>IMP-ADM-14</t>
        </is>
      </c>
      <c r="B182" s="90" t="inlineStr">
        <is>
          <t>Télécommande cloud : vue live TV + monitoring état lecteur</t>
        </is>
      </c>
      <c r="C182" s="120" t="inlineStr">
        <is>
          <t>Production</t>
        </is>
      </c>
      <c r="D182" s="90" t="inlineStr">
        <is>
          <t>v3.38.0</t>
        </is>
      </c>
      <c r="E182" s="90" t="inlineStr">
        <is>
          <t>remote.controller.ts</t>
        </is>
      </c>
      <c r="F182" s="90" t="inlineStr">
        <is>
          <t>Administration &amp; Infrastructure</t>
        </is>
      </c>
    </row>
    <row r="183" ht="21.75" customHeight="1" s="70">
      <c r="A183" s="89" t="inlineStr">
        <is>
          <t>IMP-ADM-15</t>
        </is>
      </c>
      <c r="B183" s="89" t="inlineStr">
        <is>
          <t>Télécommande cloud : affichage licence + indicateur REC</t>
        </is>
      </c>
      <c r="C183" s="120" t="inlineStr">
        <is>
          <t>Production</t>
        </is>
      </c>
      <c r="D183" s="89" t="inlineStr">
        <is>
          <t>v3.38.0</t>
        </is>
      </c>
      <c r="E183" s="89" t="inlineStr">
        <is>
          <t>remote.component.ts</t>
        </is>
      </c>
      <c r="F183" s="89" t="inlineStr">
        <is>
          <t>Administration &amp; Infrastructure</t>
        </is>
      </c>
    </row>
    <row r="184" ht="21.75" customHeight="1" s="70">
      <c r="A184" s="90" t="inlineStr">
        <is>
          <t>IMP-ADM-16</t>
        </is>
      </c>
      <c r="B184" s="90" t="inlineStr">
        <is>
          <t>Télécommande cloud : relais capture écran HTTP</t>
        </is>
      </c>
      <c r="C184" s="120" t="inlineStr">
        <is>
          <t>Production</t>
        </is>
      </c>
      <c r="D184" s="90" t="inlineStr">
        <is>
          <t>v3.57.3</t>
        </is>
      </c>
      <c r="E184" s="90" t="inlineStr">
        <is>
          <t>remote.controller.ts</t>
        </is>
      </c>
      <c r="F184" s="90" t="inlineStr">
        <is>
          <t>Administration &amp; Infrastructure</t>
        </is>
      </c>
    </row>
    <row r="185" ht="21.75" customHeight="1" s="70">
      <c r="A185" s="89" t="inlineStr">
        <is>
          <t>IMP-ADM-17</t>
        </is>
      </c>
      <c r="B185" s="89" t="inlineStr">
        <is>
          <t>Onglet profils dans détail site : interface multi-config</t>
        </is>
      </c>
      <c r="C185" s="120" t="inlineStr">
        <is>
          <t>Production</t>
        </is>
      </c>
      <c r="D185" s="89" t="inlineStr">
        <is>
          <t>v3.38.0</t>
        </is>
      </c>
      <c r="E185" s="89" t="inlineStr">
        <is>
          <t>profiles.component.ts</t>
        </is>
      </c>
      <c r="F185" s="89" t="inlineStr">
        <is>
          <t>Administration &amp; Infrastructure</t>
        </is>
      </c>
    </row>
    <row r="186" ht="21.75" customHeight="1" s="70">
      <c r="A186" s="90" t="inlineStr">
        <is>
          <t>IMP-ADM-18</t>
        </is>
      </c>
      <c r="B186" s="90" t="inlineStr">
        <is>
          <t>Modal de suppression UX + paramètres suppression Pi</t>
        </is>
      </c>
      <c r="C186" s="120" t="inlineStr">
        <is>
          <t>Production</t>
        </is>
      </c>
      <c r="D186" s="90" t="inlineStr">
        <is>
          <t>v3.30.7</t>
        </is>
      </c>
      <c r="E186" s="90" t="inlineStr">
        <is>
          <t>site-detail.component.ts</t>
        </is>
      </c>
      <c r="F186" s="90" t="inlineStr">
        <is>
          <t>Administration &amp; Infrastructure</t>
        </is>
      </c>
    </row>
    <row r="187" ht="21.75" customHeight="1" s="70">
      <c r="A187" s="89" t="inlineStr">
        <is>
          <t>IMP-ADM-19</t>
        </is>
      </c>
      <c r="B187" s="89" t="inlineStr">
        <is>
          <t>Suppression vidéo cloud/Pi (bibliothèque vidéo)</t>
        </is>
      </c>
      <c r="C187" s="120" t="inlineStr">
        <is>
          <t>Production</t>
        </is>
      </c>
      <c r="D187" s="89" t="inlineStr">
        <is>
          <t>v3.30.3</t>
        </is>
      </c>
      <c r="E187" s="89" t="inlineStr">
        <is>
          <t>content.controller.ts</t>
        </is>
      </c>
      <c r="F187" s="89" t="inlineStr">
        <is>
          <t>Administration &amp; Infrastructure</t>
        </is>
      </c>
    </row>
    <row r="188" ht="21.75" customHeight="1" s="70">
      <c r="A188" s="90" t="inlineStr">
        <is>
          <t>IMP-ADM-20</t>
        </is>
      </c>
      <c r="B188" s="90" t="inlineStr">
        <is>
          <t>Planifications récurrentes cron (quotidien/hebdo/mensuel/personnalisé)</t>
        </is>
      </c>
      <c r="C188" s="120" t="inlineStr">
        <is>
          <t>Production</t>
        </is>
      </c>
      <c r="D188" s="90" t="inlineStr">
        <is>
          <t>v1.0</t>
        </is>
      </c>
      <c r="E188" s="90" t="inlineStr">
        <is>
          <t>cron-scheduler.service.ts</t>
        </is>
      </c>
      <c r="F188" s="90" t="inlineStr">
        <is>
          <t>Administration &amp; Infrastructure</t>
        </is>
      </c>
    </row>
    <row r="189" ht="21.75" customHeight="1" s="70">
      <c r="A189" s="89" t="inlineStr">
        <is>
          <t>IMP-ADM-21</t>
        </is>
      </c>
      <c r="B189" s="89" t="inlineStr">
        <is>
          <t>Rate-limit analytics Pi (500 req/min)</t>
        </is>
      </c>
      <c r="C189" s="120" t="inlineStr">
        <is>
          <t>Production</t>
        </is>
      </c>
      <c r="D189" s="89" t="inlineStr">
        <is>
          <t>v1.0</t>
        </is>
      </c>
      <c r="E189" s="89" t="inlineStr">
        <is>
          <t>rate-limit.middleware.ts</t>
        </is>
      </c>
      <c r="F189" s="89" t="inlineStr">
        <is>
          <t>Administration &amp; Infrastructure</t>
        </is>
      </c>
    </row>
    <row r="190" ht="21.75" customHeight="1" s="70">
      <c r="A190" s="90" t="inlineStr">
        <is>
          <t>IMP-ADM-22</t>
        </is>
      </c>
      <c r="B190" s="90" t="inlineStr">
        <is>
          <t>Auto-sync versions sous-paquets raspberry à la release</t>
        </is>
      </c>
      <c r="C190" s="120" t="inlineStr">
        <is>
          <t>Production</t>
        </is>
      </c>
      <c r="D190" s="90" t="inlineStr">
        <is>
          <t>v3.55.0</t>
        </is>
      </c>
      <c r="E190" s="90" t="inlineStr">
        <is>
          <t>release.sh</t>
        </is>
      </c>
      <c r="F190" s="90" t="inlineStr">
        <is>
          <t>Administration &amp; Infrastructure</t>
        </is>
      </c>
    </row>
    <row r="191" ht="21.75" customHeight="1" s="70">
      <c r="A191" s="89" t="inlineStr">
        <is>
          <t>IMP-ADM-23</t>
        </is>
      </c>
      <c r="B191" s="89" t="inlineStr">
        <is>
          <t>Remote shell (exec commandes Pi WebSocket)</t>
        </is>
      </c>
      <c r="C191" s="120" t="inlineStr">
        <is>
          <t>Production</t>
        </is>
      </c>
      <c r="D191" s="89" t="inlineStr">
        <is>
          <t>v1.0</t>
        </is>
      </c>
      <c r="E191" s="89" t="inlineStr">
        <is>
          <t>remote.controller.ts</t>
        </is>
      </c>
      <c r="F191" s="89" t="inlineStr">
        <is>
          <t>Administration &amp; Infrastructure</t>
        </is>
      </c>
    </row>
    <row r="192" ht="21.75" customHeight="1" s="70">
      <c r="A192" s="90" t="inlineStr">
        <is>
          <t>IMP-ADM-24</t>
        </is>
      </c>
      <c r="B192" s="90" t="inlineStr">
        <is>
          <t>Terminal distant (whitelist/blacklist par rôle)</t>
        </is>
      </c>
      <c r="C192" s="120" t="inlineStr">
        <is>
          <t>Production</t>
        </is>
      </c>
      <c r="D192" s="90" t="inlineStr">
        <is>
          <t>v1.0</t>
        </is>
      </c>
      <c r="E192" s="90" t="inlineStr">
        <is>
          <t>remote.controller.ts</t>
        </is>
      </c>
      <c r="F192" s="90" t="inlineStr">
        <is>
          <t>Administration &amp; Infrastructure</t>
        </is>
      </c>
    </row>
    <row r="193" ht="21.75" customHeight="1" s="70">
      <c r="A193" s="72" t="n"/>
      <c r="B193" s="72" t="n"/>
      <c r="C193" s="72" t="n"/>
      <c r="D193" s="72" t="n"/>
      <c r="E193" s="72" t="n"/>
      <c r="F193" s="72" t="n"/>
    </row>
    <row r="194" ht="21.75" customHeight="1" s="70">
      <c r="A194" s="133" t="inlineStr">
        <is>
          <t>11. Playlists &amp; Programmation (3)</t>
        </is>
      </c>
    </row>
    <row r="195" ht="21.75" customHeight="1" s="70">
      <c r="A195" s="89" t="inlineStr">
        <is>
          <t>IMP-PLS-01</t>
        </is>
      </c>
      <c r="B195" s="89" t="inlineStr">
        <is>
          <t>Playlists personnalisées (ordre, aléatoire, pondéré)</t>
        </is>
      </c>
      <c r="C195" s="120" t="inlineStr">
        <is>
          <t>Production</t>
        </is>
      </c>
      <c r="D195" s="89" t="inlineStr">
        <is>
          <t>v1.0</t>
        </is>
      </c>
      <c r="E195" s="89" t="inlineStr">
        <is>
          <t>playlist-schedule.controller.ts</t>
        </is>
      </c>
      <c r="F195" s="89" t="inlineStr">
        <is>
          <t>Playlists &amp; Programmation</t>
        </is>
      </c>
    </row>
    <row r="196" ht="21.75" customHeight="1" s="70">
      <c r="A196" s="90" t="inlineStr">
        <is>
          <t>IMP-PLS-02</t>
        </is>
      </c>
      <c r="B196" s="90" t="inlineStr">
        <is>
          <t>Programmation horaire (jours, heures, contexte match)</t>
        </is>
      </c>
      <c r="C196" s="120" t="inlineStr">
        <is>
          <t>Production</t>
        </is>
      </c>
      <c r="D196" s="90" t="inlineStr">
        <is>
          <t>v1.0</t>
        </is>
      </c>
      <c r="E196" s="90" t="inlineStr">
        <is>
          <t>cron-scheduler.service.ts</t>
        </is>
      </c>
      <c r="F196" s="90" t="inlineStr">
        <is>
          <t>Playlists &amp; Programmation</t>
        </is>
      </c>
    </row>
    <row r="197" ht="21.75" customHeight="1" s="70">
      <c r="A197" s="89" t="inlineStr">
        <is>
          <t>IMP-PLS-03</t>
        </is>
      </c>
      <c r="B197" s="89" t="inlineStr">
        <is>
          <t>Planifications récurrentes</t>
        </is>
      </c>
      <c r="C197" s="120" t="inlineStr">
        <is>
          <t>Production</t>
        </is>
      </c>
      <c r="D197" s="89" t="inlineStr">
        <is>
          <t>v1.0</t>
        </is>
      </c>
      <c r="E197" s="89" t="inlineStr">
        <is>
          <t>add-recurring-schedules.sql</t>
        </is>
      </c>
      <c r="F197" s="89" t="inlineStr">
        <is>
          <t>Playlists &amp; Programmation</t>
        </is>
      </c>
    </row>
    <row r="198" ht="21.75" customHeight="1" s="70">
      <c r="A198" s="72" t="n"/>
      <c r="B198" s="72" t="n"/>
      <c r="C198" s="72" t="n"/>
      <c r="D198" s="72" t="n"/>
      <c r="E198" s="72" t="n"/>
      <c r="F198" s="72" t="n"/>
    </row>
    <row r="199" ht="21.75" customHeight="1" s="70">
      <c r="A199" s="134" t="inlineStr">
        <is>
          <t>12. User Management &amp; Rôles (4)</t>
        </is>
      </c>
    </row>
    <row r="200" ht="21.75" customHeight="1" s="70">
      <c r="A200" s="89" t="inlineStr">
        <is>
          <t>IMP-USR-01</t>
        </is>
      </c>
      <c r="B200" s="89" t="inlineStr">
        <is>
          <t>Gestion utilisateurs multi-tenant (super_admin &gt; admin &gt; operator &gt; viewer)</t>
        </is>
      </c>
      <c r="C200" s="120" t="inlineStr">
        <is>
          <t>Production</t>
        </is>
      </c>
      <c r="D200" s="89" t="inlineStr">
        <is>
          <t>v1.0</t>
        </is>
      </c>
      <c r="E200" s="89" t="inlineStr">
        <is>
          <t>users.controller.ts</t>
        </is>
      </c>
      <c r="F200" s="89" t="inlineStr">
        <is>
          <t>User Management &amp; Rôles</t>
        </is>
      </c>
    </row>
    <row r="201" ht="21.75" customHeight="1" s="70">
      <c r="A201" s="90" t="inlineStr">
        <is>
          <t>IMP-USR-02</t>
        </is>
      </c>
      <c r="B201" s="90" t="inlineStr">
        <is>
          <t>Rôles sponsor/annonceur + agence avec enrichissement JWT</t>
        </is>
      </c>
      <c r="C201" s="120" t="inlineStr">
        <is>
          <t>Production</t>
        </is>
      </c>
      <c r="D201" s="90" t="inlineStr">
        <is>
          <t>v1.0</t>
        </is>
      </c>
      <c r="E201" s="90" t="inlineStr">
        <is>
          <t>auth.service.ts</t>
        </is>
      </c>
      <c r="F201" s="90" t="inlineStr">
        <is>
          <t>User Management &amp; Rôles</t>
        </is>
      </c>
    </row>
    <row r="202" ht="21.75" customHeight="1" s="70">
      <c r="A202" s="89" t="inlineStr">
        <is>
          <t>IMP-USR-03</t>
        </is>
      </c>
      <c r="B202" s="89" t="inlineStr">
        <is>
          <t>Portail agences : gestion multi-annonceurs</t>
        </is>
      </c>
      <c r="C202" s="120" t="inlineStr">
        <is>
          <t>Production</t>
        </is>
      </c>
      <c r="D202" s="89" t="inlineStr">
        <is>
          <t>v1.0</t>
        </is>
      </c>
      <c r="E202" s="89" t="inlineStr">
        <is>
          <t>agency.controller.ts</t>
        </is>
      </c>
      <c r="F202" s="89" t="inlineStr">
        <is>
          <t>User Management &amp; Rôles</t>
        </is>
      </c>
    </row>
    <row r="203" ht="15" customHeight="1" s="70">
      <c r="A203" s="90" t="inlineStr">
        <is>
          <t>IMP-USR-04</t>
        </is>
      </c>
      <c r="B203" s="90" t="inlineStr">
        <is>
          <t>Page gestion utilisateurs (panel admin)</t>
        </is>
      </c>
      <c r="C203" s="120" t="inlineStr">
        <is>
          <t>Production</t>
        </is>
      </c>
      <c r="D203" s="90" t="inlineStr">
        <is>
          <t>v1.0</t>
        </is>
      </c>
      <c r="E203" s="90" t="inlineStr">
        <is>
          <t>users.component.ts</t>
        </is>
      </c>
      <c r="F203" s="90" t="inlineStr">
        <is>
          <t>User Management &amp; Rôles</t>
        </is>
      </c>
    </row>
    <row r="204" ht="21.75" customHeight="1" s="70">
      <c r="A204" s="72" t="n"/>
    </row>
    <row r="205" ht="15" customHeight="1" s="70">
      <c r="A205" s="135" t="inlineStr">
        <is>
          <t>13. Documentation &amp; Qualité (7)</t>
        </is>
      </c>
    </row>
    <row r="206" ht="15" customHeight="1" s="70">
      <c r="A206" s="89" t="inlineStr">
        <is>
          <t>IMP-DOC-01</t>
        </is>
      </c>
      <c r="B206" s="89" t="inlineStr">
        <is>
          <t>Documentation consolidée (199 fichiers, point d'entrée 00-START-HERE.md)</t>
        </is>
      </c>
      <c r="C206" s="120" t="inlineStr">
        <is>
          <t>Production</t>
        </is>
      </c>
      <c r="D206" s="89" t="inlineStr">
        <is>
          <t>v1.0</t>
        </is>
      </c>
      <c r="E206" s="89" t="inlineStr">
        <is>
          <t>docs/</t>
        </is>
      </c>
      <c r="F206" s="89" t="inlineStr">
        <is>
          <t>Documentation &amp; Qualité</t>
        </is>
      </c>
    </row>
    <row r="207" ht="15" customHeight="1" s="70">
      <c r="A207" s="90" t="inlineStr">
        <is>
          <t>IMP-DOC-02</t>
        </is>
      </c>
      <c r="B207" s="90" t="inlineStr">
        <is>
          <t>Guide personnalisation overlay</t>
        </is>
      </c>
      <c r="C207" s="120" t="inlineStr">
        <is>
          <t>Production</t>
        </is>
      </c>
      <c r="D207" s="90" t="inlineStr">
        <is>
          <t>v3.37.0</t>
        </is>
      </c>
      <c r="E207" s="90" t="inlineStr">
        <is>
          <t>CARTOGRAPHIE_OUTILS.md</t>
        </is>
      </c>
      <c r="F207" s="90" t="inlineStr">
        <is>
          <t>Documentation &amp; Qualité</t>
        </is>
      </c>
    </row>
    <row r="208" ht="15" customHeight="1" s="70">
      <c r="A208" s="89" t="inlineStr">
        <is>
          <t>IMP-DOC-03</t>
        </is>
      </c>
      <c r="B208" s="89" t="inlineStr">
        <is>
          <t>Documentation système sponsors</t>
        </is>
      </c>
      <c r="C208" s="120" t="inlineStr">
        <is>
          <t>Production</t>
        </is>
      </c>
      <c r="D208" s="89" t="inlineStr">
        <is>
          <t>v1.0</t>
        </is>
      </c>
      <c r="E208" s="89" t="inlineStr">
        <is>
          <t>docs/features/</t>
        </is>
      </c>
      <c r="F208" s="89" t="inlineStr">
        <is>
          <t>Documentation &amp; Qualité</t>
        </is>
      </c>
    </row>
    <row r="209" ht="15" customHeight="1" s="70">
      <c r="A209" s="90" t="inlineStr">
        <is>
          <t>IMP-DOC-04</t>
        </is>
      </c>
      <c r="B209" s="90" t="inlineStr">
        <is>
          <t>Guide correction hotspot Android</t>
        </is>
      </c>
      <c r="C209" s="120" t="inlineStr">
        <is>
          <t>Production</t>
        </is>
      </c>
      <c r="D209" s="90" t="inlineStr">
        <is>
          <t>v2.37.0</t>
        </is>
      </c>
      <c r="E209" s="90" t="inlineStr">
        <is>
          <t>docs/guides/</t>
        </is>
      </c>
      <c r="F209" s="90" t="inlineStr">
        <is>
          <t>Documentation &amp; Qualité</t>
        </is>
      </c>
    </row>
    <row r="210" ht="21.75" customHeight="1" s="70">
      <c r="A210" s="89" t="inlineStr">
        <is>
          <t>IMP-DOC-05</t>
        </is>
      </c>
      <c r="B210" s="122" t="n"/>
      <c r="C210" s="122" t="n"/>
      <c r="D210" s="122" t="n"/>
      <c r="E210" s="122" t="n"/>
      <c r="F210" s="123" t="n"/>
    </row>
    <row r="211" ht="15" customHeight="1" s="70">
      <c r="A211" s="90" t="inlineStr">
        <is>
          <t>IMP-DOC-06</t>
        </is>
      </c>
      <c r="B211" s="90" t="inlineStr">
        <is>
          <t>Guide stabilité WiFi USB</t>
        </is>
      </c>
      <c r="C211" s="120" t="inlineStr">
        <is>
          <t>Production</t>
        </is>
      </c>
      <c r="D211" s="90" t="inlineStr">
        <is>
          <t>v3.42.0</t>
        </is>
      </c>
      <c r="E211" s="90" t="inlineStr">
        <is>
          <t>WIFI_USB_GUIDE.md</t>
        </is>
      </c>
      <c r="F211" s="90" t="inlineStr">
        <is>
          <t>Documentation &amp; Qualité</t>
        </is>
      </c>
    </row>
    <row r="212" ht="15" customHeight="1" s="70">
      <c r="A212" s="89" t="inlineStr">
        <is>
          <t>IMP-DOC-07</t>
        </is>
      </c>
      <c r="B212" s="89" t="inlineStr">
        <is>
          <t>Documentation framework SAFe complète</t>
        </is>
      </c>
      <c r="C212" s="120" t="inlineStr">
        <is>
          <t>Production</t>
        </is>
      </c>
      <c r="D212" s="89" t="inlineStr">
        <is>
          <t>v3.60.0</t>
        </is>
      </c>
      <c r="E212" s="89" t="inlineStr">
        <is>
          <t>docs/safe/</t>
        </is>
      </c>
      <c r="F212" s="89" t="inlineStr">
        <is>
          <t>Documentation &amp; Qualité</t>
        </is>
      </c>
    </row>
    <row r="213" ht="15" customHeight="1" s="70">
      <c r="A213" s="72" t="n"/>
      <c r="B213" s="72" t="n"/>
      <c r="C213" s="72" t="n"/>
      <c r="D213" s="72" t="n"/>
      <c r="E213" s="72" t="n"/>
      <c r="F213" s="72" t="n"/>
    </row>
    <row r="214" ht="15" customHeight="1" s="70">
      <c r="A214" s="72" t="n"/>
      <c r="B214" s="72" t="n"/>
      <c r="C214" s="72" t="n"/>
      <c r="D214" s="72" t="n"/>
      <c r="E214" s="72" t="n"/>
      <c r="F214" s="72" t="n"/>
    </row>
    <row r="215" ht="15" customHeight="1" s="70">
      <c r="A215" s="136" t="inlineStr">
        <is>
          <t>Statistiques Produit</t>
        </is>
      </c>
    </row>
    <row r="216" ht="15" customHeight="1" s="70">
      <c r="A216" s="89" t="inlineStr">
        <is>
          <t>Features implémentées</t>
        </is>
      </c>
      <c r="B216" s="89" t="inlineStr">
        <is>
          <t>184</t>
        </is>
      </c>
      <c r="C216" s="89" t="n"/>
      <c r="D216" s="89" t="n"/>
      <c r="E216" s="89" t="n"/>
      <c r="F216" s="89" t="n"/>
    </row>
    <row r="217" ht="21.75" customHeight="1" s="70">
      <c r="A217" s="90" t="inlineStr">
        <is>
          <t>Domaines fonctionnels</t>
        </is>
      </c>
      <c r="B217" s="122" t="n"/>
      <c r="C217" s="122" t="n"/>
      <c r="D217" s="122" t="n"/>
      <c r="E217" s="122" t="n"/>
      <c r="F217" s="123" t="n"/>
    </row>
    <row r="218" ht="15" customHeight="1" s="70">
      <c r="A218" s="89" t="inlineStr">
        <is>
          <t>Controllers API</t>
        </is>
      </c>
      <c r="B218" s="89" t="inlineStr">
        <is>
          <t>38</t>
        </is>
      </c>
      <c r="C218" s="89" t="n"/>
      <c r="D218" s="89" t="n"/>
      <c r="E218" s="89" t="n"/>
      <c r="F218" s="89" t="n"/>
    </row>
    <row r="219" ht="15" customHeight="1" s="70">
      <c r="A219" s="90" t="inlineStr">
        <is>
          <t>Services métier</t>
        </is>
      </c>
      <c r="B219" s="90" t="inlineStr">
        <is>
          <t>37</t>
        </is>
      </c>
      <c r="C219" s="90" t="n"/>
      <c r="D219" s="90" t="n"/>
      <c r="E219" s="90" t="n"/>
      <c r="F219" s="90" t="n"/>
    </row>
    <row r="220" ht="15" customHeight="1" s="70">
      <c r="A220" s="89" t="inlineStr">
        <is>
          <t>Repositories</t>
        </is>
      </c>
      <c r="B220" s="89" t="inlineStr">
        <is>
          <t>24</t>
        </is>
      </c>
      <c r="C220" s="89" t="n"/>
      <c r="D220" s="89" t="n"/>
      <c r="E220" s="89" t="n"/>
      <c r="F220" s="89" t="n"/>
    </row>
    <row r="221" ht="15" customHeight="1" s="70">
      <c r="A221" s="90" t="inlineStr">
        <is>
          <t>Versions released</t>
        </is>
      </c>
      <c r="B221" s="90" t="inlineStr">
        <is>
          <t>30+ (v1.0 → v3.60.0)</t>
        </is>
      </c>
      <c r="C221" s="90" t="n"/>
      <c r="D221" s="90" t="n"/>
      <c r="E221" s="90" t="n"/>
      <c r="F221" s="90" t="n"/>
    </row>
    <row r="222" ht="15" customHeight="1" s="70">
      <c r="A222" s="89" t="inlineStr">
        <is>
          <t>Tests (total)</t>
        </is>
      </c>
      <c r="B222" s="89" t="inlineStr">
        <is>
          <t>2 387</t>
        </is>
      </c>
      <c r="C222" s="89" t="n"/>
      <c r="D222" s="89" t="n"/>
      <c r="E222" s="89" t="n"/>
      <c r="F222" s="89" t="n"/>
    </row>
    <row r="223" ht="15" customHeight="1" s="70">
      <c r="A223" s="72" t="n"/>
      <c r="B223" s="72" t="n"/>
      <c r="C223" s="72" t="n"/>
      <c r="D223" s="72" t="n"/>
      <c r="E223" s="72" t="n"/>
      <c r="F223" s="72" t="n"/>
    </row>
    <row r="224" ht="15" customHeight="1" s="70">
      <c r="A224" s="82" t="inlineStr">
        <is>
          <t>← Dashboard</t>
        </is>
      </c>
      <c r="B224" s="82" t="inlineStr">
        <is>
          <t>← Features &amp; US</t>
        </is>
      </c>
      <c r="C224" s="82" t="n"/>
      <c r="D224" s="72" t="n"/>
      <c r="E224" s="72" t="n"/>
      <c r="F224" s="72" t="n"/>
    </row>
    <row r="228" ht="24" customHeight="1" s="70">
      <c r="A228" s="69" t="n"/>
    </row>
    <row r="229" ht="21.75" customHeight="1" s="70"/>
    <row r="230" ht="21.75" customHeight="1" s="70"/>
    <row r="237" ht="15" customHeight="1" s="70">
      <c r="A237" s="69" t="inlineStr">
        <is>
          <t>NEOPRO_SAFe_Portfolio.xlsx</t>
        </is>
      </c>
      <c r="B237" s="69" t="inlineStr">
        <is>
          <t>NEOPRO_SAFe_Portfolio.xlsx</t>
        </is>
      </c>
      <c r="C237" s="69" t="inlineStr">
        <is>
          <t>NEOPRO_SAFe_Portfolio.xlsx</t>
        </is>
      </c>
    </row>
    <row r="240" ht="15" customHeight="1" s="70">
      <c r="A240" s="106" t="inlineStr">
        <is>
          <t>DOMAIN SUMMARY</t>
        </is>
      </c>
    </row>
    <row r="241" ht="15" customHeight="1" s="70">
      <c r="A241" s="94" t="inlineStr">
        <is>
          <t>Domaine</t>
        </is>
      </c>
      <c r="B241" s="94" t="inlineStr">
        <is>
          <t>Nombre</t>
        </is>
      </c>
    </row>
    <row r="242" ht="15" customHeight="1" s="70">
      <c r="A242" s="69" t="inlineStr">
        <is>
          <t>Authentification &amp; Sécurité</t>
        </is>
      </c>
      <c r="B242" s="69">
        <f>COUNTIF(F:F,"Authentification &amp; Sécurité")</f>
        <v/>
      </c>
    </row>
    <row r="243" ht="15" customHeight="1" s="70">
      <c r="A243" s="69" t="inlineStr">
        <is>
          <t>Clubs &amp; Gestion des sites</t>
        </is>
      </c>
      <c r="B243" s="69">
        <f>COUNTIF(F:F,"Clubs &amp; Gestion des sites")</f>
        <v/>
      </c>
    </row>
    <row r="244" ht="15" customHeight="1" s="70">
      <c r="A244" s="69" t="inlineStr">
        <is>
          <t>Diffusion &amp; Playlists</t>
        </is>
      </c>
      <c r="B244" s="69">
        <f>COUNTIF(F:F,"Diffusion &amp; Playlists")</f>
        <v/>
      </c>
    </row>
    <row r="245" ht="15" customHeight="1" s="70">
      <c r="A245" s="69" t="inlineStr">
        <is>
          <t>Content Management</t>
        </is>
      </c>
      <c r="B245" s="69">
        <f>COUNTIF(F:F,"Content Management")</f>
        <v/>
      </c>
    </row>
    <row r="246" ht="15" customHeight="1" s="70">
      <c r="A246" s="69" t="inlineStr">
        <is>
          <t>Analytics &amp; Reporting</t>
        </is>
      </c>
      <c r="B246" s="69">
        <f>COUNTIF(F:F,"Analytics &amp; Reporting")</f>
        <v/>
      </c>
    </row>
    <row r="247" ht="15" customHeight="1" s="70">
      <c r="A247" s="69" t="inlineStr">
        <is>
          <t>Sponsors &amp; Régie</t>
        </is>
      </c>
      <c r="B247" s="69">
        <f>COUNTIF(F:F,"Sponsors &amp; Régie")</f>
        <v/>
      </c>
    </row>
    <row r="248" ht="15" customHeight="1" s="70">
      <c r="A248" s="69" t="inlineStr">
        <is>
          <t>Mobile &amp; Télécommande</t>
        </is>
      </c>
      <c r="B248" s="69">
        <f>COUNTIF(F:F,"Mobile &amp; Télécommande")</f>
        <v/>
      </c>
    </row>
    <row r="249" ht="15" customHeight="1" s="70">
      <c r="A249" s="69" t="inlineStr">
        <is>
          <t>Infrastructure &amp; Monitoring</t>
        </is>
      </c>
      <c r="B249" s="69">
        <f>COUNTIF(F:F,"Infrastructure &amp; Monitoring")</f>
        <v/>
      </c>
    </row>
    <row r="250" ht="15" customHeight="1" s="70">
      <c r="A250" s="69" t="inlineStr">
        <is>
          <t>Admin &amp; Configuration</t>
        </is>
      </c>
      <c r="B250" s="69">
        <f>COUNTIF(F:F,"Admin &amp; Configuration")</f>
        <v/>
      </c>
    </row>
    <row r="251" ht="15" customHeight="1" s="70">
      <c r="A251" s="69" t="inlineStr">
        <is>
          <t>API &amp; Intégrations</t>
        </is>
      </c>
      <c r="B251" s="69">
        <f>COUNTIF(F:F,"API &amp; Intégrations")</f>
        <v/>
      </c>
    </row>
    <row r="252" ht="15" customHeight="1" s="70">
      <c r="A252" s="69" t="inlineStr">
        <is>
          <t>Notifications</t>
        </is>
      </c>
      <c r="B252" s="69">
        <f>COUNTIF(F:F,"Notifications")</f>
        <v/>
      </c>
    </row>
    <row r="253" ht="15" customHeight="1" s="70">
      <c r="A253" s="69" t="inlineStr">
        <is>
          <t>Performance &amp; Scalabilité</t>
        </is>
      </c>
      <c r="B253" s="69">
        <f>COUNTIF(F:F,"Performance &amp; Scalabilité")</f>
        <v/>
      </c>
    </row>
    <row r="254" ht="15" customHeight="1" s="70">
      <c r="A254" s="69" t="inlineStr">
        <is>
          <t>DevOps &amp; Déploiement</t>
        </is>
      </c>
      <c r="B254" s="69">
        <f>COUNTIF(F:F,"DevOps &amp; Déploiement")</f>
        <v/>
      </c>
    </row>
    <row r="255" ht="15" customHeight="1" s="70">
      <c r="A255" s="106" t="inlineStr">
        <is>
          <t>TOTAL</t>
        </is>
      </c>
      <c r="B255" s="106">
        <f>SUM(B242:B254)</f>
        <v/>
      </c>
    </row>
  </sheetData>
  <autoFilter ref="A4:F226"/>
  <mergeCells count="16">
    <mergeCell ref="A2:F2"/>
    <mergeCell ref="A49:F49"/>
    <mergeCell ref="A204:F204"/>
    <mergeCell ref="A129:F129"/>
    <mergeCell ref="A177:F177"/>
    <mergeCell ref="A151:F151"/>
    <mergeCell ref="A36:F36"/>
    <mergeCell ref="A217:F217"/>
    <mergeCell ref="A102:F102"/>
    <mergeCell ref="A1:F1"/>
    <mergeCell ref="A228:F228"/>
    <mergeCell ref="A4:F4"/>
    <mergeCell ref="A20:F20"/>
    <mergeCell ref="A210:F210"/>
    <mergeCell ref="A64:F64"/>
    <mergeCell ref="A81:F81"/>
  </mergeCells>
  <conditionalFormatting sqref="C6:C237">
    <cfRule type="cellIs" rank="0" priority="2" equalAverage="0" operator="equal" aboveAverage="0" dxfId="8" text="" percent="0" bottom="0">
      <formula>"Production"</formula>
    </cfRule>
    <cfRule type="cellIs" rank="0" priority="3" equalAverage="0" operator="equal" aboveAverage="0" dxfId="9" text="" percent="0" bottom="0">
      <formula>"Livré"</formula>
    </cfRule>
    <cfRule type="cellIs" rank="0" priority="4" equalAverage="0" operator="equal" aboveAverage="0" dxfId="11" text="" percent="0" bottom="0">
      <formula>"Partiel"</formula>
    </cfRule>
  </conditionalFormatting>
  <dataValidations count="2">
    <dataValidation sqref="C6:C237" showDropDown="1" showInputMessage="0" showErrorMessage="0" allowBlank="1" errorTitle="Entrée invalide" error="Sélectionner une valeur valide" type="list" errorStyle="stop" operator="between">
      <formula1>"Production,Livré,Partiel"</formula1>
      <formula2>0</formula2>
    </dataValidation>
    <dataValidation sqref="F6:F237" showDropDown="1" showInputMessage="0" showErrorMessage="0" allowBlank="1" errorTitle="Entrée invalide" error="Sélectionner une valeur valide" type="list" errorStyle="stop" operator="between">
      <formula1>"Authentification &amp; Sécurité,Gestion de Contenu &amp; Vidéo,Score en Direct &amp; Overlays,Déploiement &amp; OTA,Monétisation &amp; Sponsors,Analytics &amp; Reporting,Raspberry Pi (Edge),Résilience Réseau &amp; Sync,Monitoring &amp; Alertes,Administration &amp; Infrastructure,Playlists &amp;"</formula1>
      <formula2>0</formula2>
    </dataValidation>
  </dataValidations>
  <hyperlinks>
    <hyperlink xmlns:r="http://schemas.openxmlformats.org/officeDocument/2006/relationships" ref="A1" location="Dashboard!A1" display="← Dashboard | ← Dashboard" r:id="rId1"/>
    <hyperlink xmlns:r="http://schemas.openxmlformats.org/officeDocument/2006/relationships" ref="A237" location="Dashboard!A1" display="NEOPRO_SAFe_Portfolio.xlsx" r:id="rId2"/>
    <hyperlink xmlns:r="http://schemas.openxmlformats.org/officeDocument/2006/relationships" ref="B237" location="'Features%20&amp;%20US'!A1" display="NEOPRO_SAFe_Portfolio.xlsx" r:id="rId3"/>
    <hyperlink xmlns:r="http://schemas.openxmlformats.org/officeDocument/2006/relationships" ref="C237" location="'Value%20Streams'!A1" display="NEOPRO_SAFe_Portfolio.xlsx" r:id="rId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2026-02-19T12:41:19Z</dcterms:created>
  <dcterms:modified xmlns:dcterms="http://purl.org/dc/terms/" xmlns:xsi="http://www.w3.org/2001/XMLSchema-instance" xsi:type="dcterms:W3CDTF">2026-02-19T15:01:13Z</dcterms:modified>
  <cp:revision>20</cp:revision>
</cp:coreProperties>
</file>