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49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1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2</v>
      </c>
      <c r="G36" s="4" t="inlineStr">
        <is>
          <t>Backlog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E-17</t>
        </is>
      </c>
      <c r="B37" s="4" t="inlineStr">
        <is>
          <t>F-17.1</t>
        </is>
      </c>
      <c r="C37" s="4" t="inlineStr">
        <is>
          <t>Campagnes A/B Test</t>
        </is>
      </c>
      <c r="D37" s="4">
        <f>COUNTIF('User Stories'!B:B,B37)</f>
        <v/>
      </c>
      <c r="E37" s="4">
        <f>SUMIF('User Stories'!B:B,B37,'User Stories'!E:E)</f>
        <v/>
      </c>
      <c r="F37" s="4" t="n">
        <v>2</v>
      </c>
      <c r="G37" s="4" t="inlineStr">
        <is>
          <t>Backlog</t>
        </is>
      </c>
      <c r="H37" s="4" t="inlineStr"/>
      <c r="I37" s="4" t="inlineStr">
        <is>
          <t>PI-2 (Avr-Jun 2025)</t>
        </is>
      </c>
      <c r="J37" s="4" t="inlineStr"/>
    </row>
    <row r="38">
      <c r="A38" s="4" t="inlineStr">
        <is>
          <t>E-18</t>
        </is>
      </c>
      <c r="B38" s="4" t="inlineStr">
        <is>
          <t>F-18.1</t>
        </is>
      </c>
      <c r="C38" s="4" t="inlineStr">
        <is>
          <t>Audience réelle via billetterie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E-19</t>
        </is>
      </c>
      <c r="B39" s="4" t="inlineStr">
        <is>
          <t>F-19.1</t>
        </is>
      </c>
      <c r="C39" s="4" t="inlineStr">
        <is>
          <t>Comptage spectateurs automatique</t>
        </is>
      </c>
      <c r="D39" s="4">
        <f>COUNTIF('User Stories'!B:B,B39)</f>
        <v/>
      </c>
      <c r="E39" s="4">
        <f>SUMIF('User Stories'!B:B,B39,'User Stories'!E:E)</f>
        <v/>
      </c>
      <c r="F39" s="4" t="n">
        <v>3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E-20</t>
        </is>
      </c>
      <c r="B40" s="4" t="inlineStr">
        <is>
          <t>F-20.1</t>
        </is>
      </c>
      <c r="C40" s="4" t="inlineStr">
        <is>
          <t>Prédictions engagement et uptime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E-21</t>
        </is>
      </c>
      <c r="B41" s="4" t="inlineStr">
        <is>
          <t>F-21.1</t>
        </is>
      </c>
      <c r="C41" s="4" t="inlineStr">
        <is>
          <t>API OAuth 2.0 pour partenaires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E-22</t>
        </is>
      </c>
      <c r="B42" s="4" t="inlineStr">
        <is>
          <t>F-22.0</t>
        </is>
      </c>
      <c r="C42" s="4" t="inlineStr">
        <is>
          <t>Enabler — Validation hardware dual HDMI (spike)</t>
        </is>
      </c>
      <c r="D42" s="4">
        <f>COUNTIF('User Stories'!B:B,B42)</f>
        <v/>
      </c>
      <c r="E42" s="4">
        <f>SUMIF('User Stories'!B:B,B42,'User Stories'!E:E)</f>
        <v/>
      </c>
      <c r="F42" s="4" t="n">
        <v>1</v>
      </c>
      <c r="G42" s="4" t="inlineStr">
        <is>
          <t>Backlog</t>
        </is>
      </c>
      <c r="H42" s="4" t="inlineStr"/>
      <c r="I42" s="4" t="inlineStr">
        <is>
          <t>PI-2 (Avr-Jun 2026)</t>
        </is>
      </c>
      <c r="J42" s="4" t="inlineStr"/>
    </row>
    <row r="43">
      <c r="A43" s="4" t="inlineStr">
        <is>
          <t>E-22</t>
        </is>
      </c>
      <c r="B43" s="4" t="inlineStr">
        <is>
          <t>F-22.1</t>
        </is>
      </c>
      <c r="C43" s="4" t="inlineStr">
        <is>
          <t>Dual Kiosk HDMI natif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PI-2 (Avr-Jun 2026)</t>
        </is>
      </c>
      <c r="J43" s="4" t="inlineStr"/>
    </row>
    <row r="44">
      <c r="A44" s="4" t="inlineStr">
        <is>
          <t>E-22</t>
        </is>
      </c>
      <c r="B44" s="4" t="inlineStr">
        <is>
          <t>F-22.2</t>
        </is>
      </c>
      <c r="C44" s="4" t="inlineStr">
        <is>
          <t>Réactions différenciées TV vs LED</t>
        </is>
      </c>
      <c r="D44" s="4">
        <f>COUNTIF('User Stories'!B:B,B44)</f>
        <v/>
      </c>
      <c r="E44" s="4">
        <f>SUMIF('User Stories'!B:B,B44,'User Stories'!E:E)</f>
        <v/>
      </c>
      <c r="F44" s="4" t="n">
        <v>2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F-22.3</t>
        </is>
      </c>
      <c r="C45" s="4" t="inlineStr">
        <is>
          <t>Variantes vidéo par type d'écran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/>
    <row r="47">
      <c r="A47" s="2" t="inlineStr">
        <is>
          <t>SUMMARY</t>
        </is>
      </c>
    </row>
    <row r="48">
      <c r="A48" s="3" t="inlineStr">
        <is>
          <t>PI</t>
        </is>
      </c>
      <c r="B48" s="3" t="inlineStr">
        <is>
          <t>Features</t>
        </is>
      </c>
      <c r="C48" s="3" t="inlineStr">
        <is>
          <t>Total SP</t>
        </is>
      </c>
      <c r="D48" s="3" t="inlineStr">
        <is>
          <t>Terminé</t>
        </is>
      </c>
      <c r="E48" s="3" t="inlineStr">
        <is>
          <t>Backlog</t>
        </is>
      </c>
    </row>
    <row r="49">
      <c r="A49" s="4" t="inlineStr">
        <is>
          <t>PI-1 (Jan-Mar 2025)</t>
        </is>
      </c>
      <c r="B49" s="4">
        <f>COUNTIF(I6:I29,"PI-1*")</f>
        <v/>
      </c>
      <c r="C49" s="4">
        <f>SUMIF(I6:I29,"PI-1*",E6:E29)</f>
        <v/>
      </c>
      <c r="D49" s="4">
        <f>COUNTIFS(I6:I29,"PI-1*",G6:G29,"Terminé")</f>
        <v/>
      </c>
      <c r="E49" s="4">
        <f>COUNTIFS(I6:I29,"PI-1*",G6:G29,"Backlog")</f>
        <v/>
      </c>
    </row>
    <row r="50">
      <c r="A50" s="4" t="inlineStr">
        <is>
          <t>PI-2 (Avr-Jun 2025)</t>
        </is>
      </c>
      <c r="B50" s="4">
        <f>COUNTIF(I31:I45,"PI-2*")</f>
        <v/>
      </c>
      <c r="C50" s="4">
        <f>SUMIF(I31:I45,"PI-2*",E31:E45)</f>
        <v/>
      </c>
      <c r="D50" s="4">
        <f>COUNTIFS(I31:I45,"PI-2*",G31:G45,"Terminé")</f>
        <v/>
      </c>
      <c r="E50" s="4">
        <f>COUNTIFS(I31:I45,"PI-2*",G31:G45,"Backlog")</f>
        <v/>
      </c>
    </row>
    <row r="51">
      <c r="A51" s="4" t="inlineStr">
        <is>
          <t>PI-3 (Jul-Sep 2025)</t>
        </is>
      </c>
      <c r="B51" s="4" t="n">
        <v>0</v>
      </c>
      <c r="C51" s="4" t="n">
        <v>0</v>
      </c>
      <c r="D51" s="4" t="n">
        <v>0</v>
      </c>
      <c r="E51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2026-03-02T07:27:47Z</dcterms:created>
  <dcterms:modified xsi:type="dcterms:W3CDTF">2026-03-02T07:27:47Z</dcterms:modified>
</cp:coreProperties>
</file>