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charts/chart5.xml" ContentType="application/vnd.openxmlformats-officedocument.drawingml.chart+xml"/>
  <Override PartName="/xl/comments1.xml" ContentType="application/vnd.openxmlformats-officedocument.spreadsheetml.comments+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letallec/Documents/NEOPRO/neopro/docs/safe/"/>
    </mc:Choice>
  </mc:AlternateContent>
  <xr:revisionPtr revIDLastSave="0" documentId="8_{5B266053-EFE6-884C-9C75-D6DB3A5EADC3}" xr6:coauthVersionLast="47" xr6:coauthVersionMax="47" xr10:uidLastSave="{00000000-0000-0000-0000-000000000000}"/>
  <bookViews>
    <workbookView xWindow="0" yWindow="660" windowWidth="30240" windowHeight="18980" tabRatio="500" firstSheet="3" activeTab="7" xr2:uid="{00000000-000D-0000-FFFF-FFFF00000000}"/>
  </bookViews>
  <sheets>
    <sheet name="Dashboard" sheetId="1" r:id="rId1"/>
    <sheet name="Guide" sheetId="2" r:id="rId2"/>
    <sheet name="Glossaire" sheetId="3" r:id="rId3"/>
    <sheet name="Vision &amp; OKR" sheetId="4" r:id="rId4"/>
    <sheet name="Value Streams" sheetId="5" r:id="rId5"/>
    <sheet name="Epics &amp; LBC" sheetId="6" r:id="rId6"/>
    <sheet name="Lean Business Cases" sheetId="7" r:id="rId7"/>
    <sheet name="Features &amp; US" sheetId="8" r:id="rId8"/>
    <sheet name="User Stories" sheetId="15" r:id="rId9"/>
    <sheet name="Implemented Backlog" sheetId="14" r:id="rId10"/>
    <sheet name="ROAM" sheetId="11" r:id="rId11"/>
    <sheet name="PI Objectives" sheetId="9" r:id="rId12"/>
    <sheet name="Sprint Tracker" sheetId="10" r:id="rId13"/>
    <sheet name="Inspect &amp; Adapt" sheetId="12" r:id="rId14"/>
    <sheet name="Flow Metrics" sheetId="13" r:id="rId15"/>
    <sheet name="_ChartData" sheetId="16" state="hidden" r:id="rId16"/>
    <sheet name="_Metadata" sheetId="17" r:id="rId17"/>
  </sheets>
  <definedNames>
    <definedName name="_xlnm._FilterDatabase" localSheetId="5" hidden="1">'Epics &amp; LBC'!$A$3:$L$24</definedName>
    <definedName name="_xlnm._FilterDatabase" localSheetId="7" hidden="1">'Features &amp; US'!$A$4:$J$39</definedName>
    <definedName name="_xlnm._FilterDatabase" localSheetId="9" hidden="1">'Implemented Backlog'!$A$3:$F$188</definedName>
    <definedName name="_xlnm._FilterDatabase" localSheetId="6" hidden="1">'Lean Business Cases'!$A$4:$L$25</definedName>
    <definedName name="_xlnm._FilterDatabase" localSheetId="8" hidden="1">'User Stories'!$A$4:$J$271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8" i="12" l="1"/>
  <c r="F38" i="12"/>
  <c r="D38" i="12"/>
  <c r="G38" i="12"/>
  <c r="F37" i="12"/>
  <c r="G37" i="12" s="1"/>
  <c r="D37" i="12"/>
  <c r="E37" i="12" s="1"/>
  <c r="F36" i="12"/>
  <c r="G36" i="12" s="1"/>
  <c r="D36" i="12"/>
  <c r="E36" i="12" s="1"/>
  <c r="G35" i="12"/>
  <c r="F35" i="12"/>
  <c r="D35" i="12"/>
  <c r="C35" i="12"/>
  <c r="E35" i="12"/>
  <c r="F22" i="10"/>
  <c r="F21" i="10"/>
  <c r="F20" i="10"/>
  <c r="F15" i="10"/>
  <c r="F14" i="10"/>
  <c r="F13" i="10"/>
  <c r="D22" i="10"/>
  <c r="D21" i="10"/>
  <c r="D20" i="10"/>
  <c r="D15" i="10"/>
  <c r="G22" i="1" s="1"/>
  <c r="D14" i="10"/>
  <c r="F22" i="1" s="1"/>
  <c r="D13" i="10"/>
  <c r="D16" i="10" s="1"/>
  <c r="D8" i="10"/>
  <c r="D22" i="1" s="1"/>
  <c r="D7" i="10"/>
  <c r="B15" i="16" s="1"/>
  <c r="D6" i="10"/>
  <c r="B22" i="1" s="1"/>
  <c r="F8" i="10"/>
  <c r="F7" i="10"/>
  <c r="F6" i="10"/>
  <c r="D23" i="10"/>
  <c r="E24" i="6"/>
  <c r="E23" i="6"/>
  <c r="E22" i="6"/>
  <c r="E21" i="6"/>
  <c r="E20" i="6"/>
  <c r="E19" i="6"/>
  <c r="E18" i="6"/>
  <c r="E17" i="6"/>
  <c r="E16" i="6"/>
  <c r="E15" i="6"/>
  <c r="E14" i="6"/>
  <c r="E13" i="6"/>
  <c r="E12" i="6"/>
  <c r="E11" i="6"/>
  <c r="E10" i="6"/>
  <c r="E9" i="6"/>
  <c r="E8" i="6"/>
  <c r="E7" i="6"/>
  <c r="E6" i="6"/>
  <c r="E5" i="6"/>
  <c r="E4" i="6"/>
  <c r="C37" i="12"/>
  <c r="C36" i="12"/>
  <c r="C38" i="12"/>
  <c r="D22" i="12"/>
  <c r="D21" i="12"/>
  <c r="D18" i="12"/>
  <c r="D17" i="12"/>
  <c r="D16" i="12"/>
  <c r="D15" i="12"/>
  <c r="D34" i="13"/>
  <c r="D33" i="13"/>
  <c r="D32" i="13"/>
  <c r="D31" i="13"/>
  <c r="D35" i="13" s="1"/>
  <c r="D26" i="13"/>
  <c r="D25" i="13"/>
  <c r="D24" i="13"/>
  <c r="D23" i="13"/>
  <c r="D27" i="13" s="1"/>
  <c r="C19" i="13"/>
  <c r="D18" i="13"/>
  <c r="D17" i="13"/>
  <c r="D16" i="13"/>
  <c r="D15" i="13"/>
  <c r="D19" i="13" s="1"/>
  <c r="E22" i="10"/>
  <c r="E21" i="10"/>
  <c r="E20" i="10"/>
  <c r="E15" i="10"/>
  <c r="E14" i="10"/>
  <c r="E13" i="10"/>
  <c r="C16" i="10"/>
  <c r="E9" i="10"/>
  <c r="C9" i="10"/>
  <c r="E6" i="10"/>
  <c r="E7" i="10"/>
  <c r="E8" i="10"/>
  <c r="H12" i="1"/>
  <c r="H11" i="1"/>
  <c r="H10" i="1"/>
  <c r="H9" i="1"/>
  <c r="F12" i="1"/>
  <c r="F11" i="1"/>
  <c r="F10" i="1"/>
  <c r="F9" i="1"/>
  <c r="B13" i="16"/>
  <c r="B12" i="16"/>
  <c r="B4" i="16"/>
  <c r="B3" i="16"/>
  <c r="B2" i="16"/>
  <c r="B261" i="15"/>
  <c r="B260" i="15"/>
  <c r="B259" i="15"/>
  <c r="B258" i="15"/>
  <c r="B203" i="14"/>
  <c r="B202" i="14"/>
  <c r="B201" i="14"/>
  <c r="B200" i="14"/>
  <c r="B199" i="14"/>
  <c r="B198" i="14"/>
  <c r="B197" i="14"/>
  <c r="B196" i="14"/>
  <c r="B195" i="14"/>
  <c r="B194" i="14"/>
  <c r="B193" i="14"/>
  <c r="B192" i="14"/>
  <c r="B191" i="14"/>
  <c r="B204" i="14" s="1"/>
  <c r="B19" i="11"/>
  <c r="G18" i="11"/>
  <c r="B18" i="11"/>
  <c r="G17" i="11"/>
  <c r="B17" i="11"/>
  <c r="G16" i="11"/>
  <c r="G19" i="11" s="1"/>
  <c r="H16" i="11" s="1"/>
  <c r="B16" i="11"/>
  <c r="B20" i="11" s="1"/>
  <c r="E45" i="8"/>
  <c r="D45" i="8"/>
  <c r="B45" i="8"/>
  <c r="E44" i="8"/>
  <c r="D44" i="8"/>
  <c r="B44" i="8"/>
  <c r="E43" i="8"/>
  <c r="D43" i="8"/>
  <c r="B43" i="8"/>
  <c r="E39" i="8"/>
  <c r="F5" i="1" s="1"/>
  <c r="G18" i="1" s="1"/>
  <c r="D39" i="8"/>
  <c r="E38" i="8"/>
  <c r="D38" i="8"/>
  <c r="E37" i="8"/>
  <c r="D37" i="8"/>
  <c r="E36" i="8"/>
  <c r="D36" i="8"/>
  <c r="E35" i="8"/>
  <c r="D35" i="8"/>
  <c r="E34" i="8"/>
  <c r="D34" i="8"/>
  <c r="E33" i="8"/>
  <c r="H22" i="6" s="1"/>
  <c r="D33" i="8"/>
  <c r="E32" i="8"/>
  <c r="D32" i="8"/>
  <c r="E31" i="8"/>
  <c r="D31" i="8"/>
  <c r="E30" i="8"/>
  <c r="D30" i="8"/>
  <c r="E29" i="8"/>
  <c r="D29" i="8"/>
  <c r="E28" i="8"/>
  <c r="D28" i="8"/>
  <c r="E27" i="8"/>
  <c r="D27" i="8"/>
  <c r="E26" i="8"/>
  <c r="C45" i="8" s="1"/>
  <c r="D26" i="8"/>
  <c r="E25" i="8"/>
  <c r="H19" i="6" s="1"/>
  <c r="D25" i="8"/>
  <c r="E24" i="8"/>
  <c r="D24" i="8"/>
  <c r="E23" i="8"/>
  <c r="D23" i="8"/>
  <c r="E22" i="8"/>
  <c r="D22" i="8"/>
  <c r="E21" i="8"/>
  <c r="D21" i="8"/>
  <c r="E20" i="8"/>
  <c r="D20" i="8"/>
  <c r="E19" i="8"/>
  <c r="H6" i="6" s="1"/>
  <c r="I11" i="7" s="1"/>
  <c r="D19" i="8"/>
  <c r="E18" i="8"/>
  <c r="D18" i="8"/>
  <c r="E17" i="8"/>
  <c r="D17" i="8"/>
  <c r="E16" i="8"/>
  <c r="D16" i="8"/>
  <c r="E15" i="8"/>
  <c r="H12" i="6" s="1"/>
  <c r="I12" i="7" s="1"/>
  <c r="D15" i="8"/>
  <c r="E14" i="8"/>
  <c r="D14" i="8"/>
  <c r="E13" i="8"/>
  <c r="C44" i="8" s="1"/>
  <c r="D13" i="8"/>
  <c r="E12" i="8"/>
  <c r="D12" i="8"/>
  <c r="E11" i="8"/>
  <c r="D11" i="8"/>
  <c r="E10" i="8"/>
  <c r="D10" i="8"/>
  <c r="E9" i="8"/>
  <c r="H4" i="6" s="1"/>
  <c r="D9" i="8"/>
  <c r="E8" i="8"/>
  <c r="D8" i="8"/>
  <c r="E7" i="8"/>
  <c r="H5" i="6" s="1"/>
  <c r="D7" i="8"/>
  <c r="E6" i="8"/>
  <c r="D6" i="8"/>
  <c r="E5" i="8"/>
  <c r="B7" i="16" s="1"/>
  <c r="D5" i="8"/>
  <c r="B33" i="7"/>
  <c r="B32" i="7"/>
  <c r="B31" i="7"/>
  <c r="B30" i="7"/>
  <c r="H15" i="6"/>
  <c r="H17" i="6"/>
  <c r="H16" i="6"/>
  <c r="H24" i="6"/>
  <c r="H23" i="6"/>
  <c r="H21" i="6"/>
  <c r="H20" i="6"/>
  <c r="H8" i="6"/>
  <c r="H18" i="6"/>
  <c r="H9" i="6"/>
  <c r="H7" i="6"/>
  <c r="H13" i="6"/>
  <c r="H10" i="6"/>
  <c r="H11" i="6"/>
  <c r="D11" i="1"/>
  <c r="B11" i="1"/>
  <c r="D10" i="1"/>
  <c r="B10" i="1"/>
  <c r="D9" i="1"/>
  <c r="D12" i="1" s="1"/>
  <c r="B9" i="1"/>
  <c r="B12" i="1" s="1"/>
  <c r="H4" i="1"/>
  <c r="F4" i="1"/>
  <c r="D4" i="1"/>
  <c r="B4" i="1"/>
  <c r="D9" i="10" l="1"/>
  <c r="C22" i="1"/>
  <c r="E22" i="1"/>
  <c r="H22" i="1"/>
  <c r="B14" i="16"/>
  <c r="I13" i="7"/>
  <c r="I19" i="7"/>
  <c r="I23" i="7"/>
  <c r="I9" i="7"/>
  <c r="I8" i="7"/>
  <c r="I20" i="7"/>
  <c r="I21" i="7"/>
  <c r="I10" i="7"/>
  <c r="I6" i="7"/>
  <c r="I7" i="7"/>
  <c r="I17" i="7"/>
  <c r="I18" i="7"/>
  <c r="I16" i="7"/>
  <c r="I5" i="7"/>
  <c r="I22" i="7"/>
  <c r="I24" i="7"/>
  <c r="I25" i="7"/>
  <c r="C18" i="11"/>
  <c r="C17" i="11"/>
  <c r="C19" i="11"/>
  <c r="C16" i="11"/>
  <c r="H17" i="11"/>
  <c r="H19" i="11" s="1"/>
  <c r="H18" i="11"/>
  <c r="C43" i="8"/>
  <c r="D5" i="1"/>
  <c r="G17" i="1" s="1"/>
  <c r="H14" i="6"/>
  <c r="B8" i="16"/>
  <c r="B9" i="16"/>
  <c r="B5" i="1"/>
  <c r="G16" i="1" s="1"/>
  <c r="I15" i="7" l="1"/>
  <c r="I14" i="7"/>
  <c r="C2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Gwenvael Le Tallec</author>
  </authors>
  <commentList>
    <comment ref="D5" authorId="0" shapeId="0" xr:uid="{00000000-0006-0000-0700-000001000000}">
      <text>
        <r>
          <rPr>
            <sz val="10"/>
            <color rgb="FF000000"/>
            <rFont val="Arial"/>
            <family val="2"/>
          </rPr>
          <t>Ancien: 2 (manuel)</t>
        </r>
      </text>
    </comment>
    <comment ref="E5" authorId="0" shapeId="0" xr:uid="{00000000-0006-0000-0700-000024000000}">
      <text>
        <r>
          <rPr>
            <sz val="10"/>
            <color rgb="FF000000"/>
            <rFont val="Arial"/>
            <family val="2"/>
          </rPr>
          <t>Ancien: 6 (manuel)</t>
        </r>
      </text>
    </comment>
    <comment ref="D6" authorId="0" shapeId="0" xr:uid="{00000000-0006-0000-0700-000002000000}">
      <text>
        <r>
          <rPr>
            <sz val="10"/>
            <color rgb="FF000000"/>
            <rFont val="Arial"/>
            <family val="2"/>
          </rPr>
          <t>Ancien: 2 (manuel)</t>
        </r>
      </text>
    </comment>
    <comment ref="E6" authorId="0" shapeId="0" xr:uid="{00000000-0006-0000-0700-000025000000}">
      <text>
        <r>
          <rPr>
            <sz val="10"/>
            <rFont val="Arial"/>
            <family val="2"/>
          </rPr>
          <t>Ancien: 8 (manuel)</t>
        </r>
      </text>
    </comment>
    <comment ref="D7" authorId="0" shapeId="0" xr:uid="{00000000-0006-0000-0700-000003000000}">
      <text>
        <r>
          <rPr>
            <sz val="10"/>
            <rFont val="Arial"/>
            <family val="2"/>
          </rPr>
          <t>Ancien: 1 (manuel)</t>
        </r>
      </text>
    </comment>
    <comment ref="E7" authorId="0" shapeId="0" xr:uid="{00000000-0006-0000-0700-000026000000}">
      <text>
        <r>
          <rPr>
            <sz val="10"/>
            <color rgb="FF000000"/>
            <rFont val="Arial"/>
            <family val="2"/>
          </rPr>
          <t>Ancien: 5 (manuel)</t>
        </r>
      </text>
    </comment>
    <comment ref="D8" authorId="0" shapeId="0" xr:uid="{00000000-0006-0000-0700-000004000000}">
      <text>
        <r>
          <rPr>
            <sz val="10"/>
            <rFont val="Arial"/>
            <family val="2"/>
          </rPr>
          <t>Ancien: 2 (manuel)</t>
        </r>
      </text>
    </comment>
    <comment ref="E8" authorId="0" shapeId="0" xr:uid="{00000000-0006-0000-0700-000027000000}">
      <text>
        <r>
          <rPr>
            <sz val="10"/>
            <rFont val="Arial"/>
            <family val="2"/>
          </rPr>
          <t>Ancien: 8 (manuel)</t>
        </r>
      </text>
    </comment>
    <comment ref="D9" authorId="0" shapeId="0" xr:uid="{00000000-0006-0000-0700-000005000000}">
      <text>
        <r>
          <rPr>
            <sz val="10"/>
            <rFont val="Arial"/>
            <family val="2"/>
          </rPr>
          <t>Ancien: 2 (manuel)</t>
        </r>
      </text>
    </comment>
    <comment ref="E9" authorId="0" shapeId="0" xr:uid="{00000000-0006-0000-0700-000028000000}">
      <text>
        <r>
          <rPr>
            <sz val="10"/>
            <rFont val="Arial"/>
            <family val="2"/>
          </rPr>
          <t>Ancien: 10 (manuel)</t>
        </r>
      </text>
    </comment>
    <comment ref="D10" authorId="0" shapeId="0" xr:uid="{00000000-0006-0000-0700-000006000000}">
      <text>
        <r>
          <rPr>
            <sz val="10"/>
            <rFont val="Arial"/>
            <family val="2"/>
          </rPr>
          <t>Ancien: 2 (manuel)</t>
        </r>
      </text>
    </comment>
    <comment ref="E10" authorId="0" shapeId="0" xr:uid="{00000000-0006-0000-0700-000029000000}">
      <text>
        <r>
          <rPr>
            <sz val="10"/>
            <color rgb="FF000000"/>
            <rFont val="Arial"/>
            <family val="2"/>
          </rPr>
          <t>Ancien: 8 (manuel)</t>
        </r>
      </text>
    </comment>
    <comment ref="D11" authorId="0" shapeId="0" xr:uid="{00000000-0006-0000-0700-000007000000}">
      <text>
        <r>
          <rPr>
            <sz val="10"/>
            <rFont val="Arial"/>
            <family val="2"/>
          </rPr>
          <t>Ancien: 1 (manuel)</t>
        </r>
      </text>
    </comment>
    <comment ref="E11" authorId="0" shapeId="0" xr:uid="{00000000-0006-0000-0700-00002A000000}">
      <text>
        <r>
          <rPr>
            <sz val="10"/>
            <rFont val="Arial"/>
            <family val="2"/>
          </rPr>
          <t>Ancien: 5 (manuel)</t>
        </r>
      </text>
    </comment>
    <comment ref="D12" authorId="0" shapeId="0" xr:uid="{00000000-0006-0000-0700-000008000000}">
      <text>
        <r>
          <rPr>
            <sz val="10"/>
            <rFont val="Arial"/>
            <family val="2"/>
          </rPr>
          <t>Ancien: 1 (manuel)</t>
        </r>
      </text>
    </comment>
    <comment ref="E12" authorId="0" shapeId="0" xr:uid="{00000000-0006-0000-0700-00002B000000}">
      <text>
        <r>
          <rPr>
            <sz val="10"/>
            <rFont val="Arial"/>
            <family val="2"/>
          </rPr>
          <t>Ancien: 5 (manuel)</t>
        </r>
      </text>
    </comment>
    <comment ref="D13" authorId="0" shapeId="0" xr:uid="{00000000-0006-0000-0700-000009000000}">
      <text>
        <r>
          <rPr>
            <sz val="10"/>
            <rFont val="Arial"/>
            <family val="2"/>
          </rPr>
          <t>Ancien: 2 (manuel)</t>
        </r>
      </text>
    </comment>
    <comment ref="E13" authorId="0" shapeId="0" xr:uid="{00000000-0006-0000-0700-00002C000000}">
      <text>
        <r>
          <rPr>
            <sz val="10"/>
            <rFont val="Arial"/>
            <family val="2"/>
          </rPr>
          <t>Ancien: 11 (manuel)</t>
        </r>
      </text>
    </comment>
    <comment ref="D14" authorId="0" shapeId="0" xr:uid="{00000000-0006-0000-0700-00000A000000}">
      <text>
        <r>
          <rPr>
            <sz val="10"/>
            <color rgb="FF000000"/>
            <rFont val="Arial"/>
            <family val="2"/>
          </rPr>
          <t>Ancien: 3 (manuel)</t>
        </r>
      </text>
    </comment>
    <comment ref="E14" authorId="0" shapeId="0" xr:uid="{00000000-0006-0000-0700-00002D000000}">
      <text>
        <r>
          <rPr>
            <sz val="10"/>
            <rFont val="Arial"/>
            <family val="2"/>
          </rPr>
          <t>Ancien: 13 (manuel)</t>
        </r>
      </text>
    </comment>
    <comment ref="D15" authorId="0" shapeId="0" xr:uid="{00000000-0006-0000-0700-00000B000000}">
      <text>
        <r>
          <rPr>
            <sz val="10"/>
            <rFont val="Arial"/>
            <family val="2"/>
          </rPr>
          <t>Ancien: 1 (manuel)</t>
        </r>
      </text>
    </comment>
    <comment ref="E15" authorId="0" shapeId="0" xr:uid="{00000000-0006-0000-0700-00002E000000}">
      <text>
        <r>
          <rPr>
            <sz val="10"/>
            <rFont val="Arial"/>
            <family val="2"/>
          </rPr>
          <t>Ancien: 5 (manuel)</t>
        </r>
      </text>
    </comment>
    <comment ref="D16" authorId="0" shapeId="0" xr:uid="{00000000-0006-0000-0700-00000C000000}">
      <text>
        <r>
          <rPr>
            <sz val="10"/>
            <rFont val="Arial"/>
            <family val="2"/>
          </rPr>
          <t>Ancien: 1 (manuel)</t>
        </r>
      </text>
    </comment>
    <comment ref="E16" authorId="0" shapeId="0" xr:uid="{00000000-0006-0000-0700-00002F000000}">
      <text>
        <r>
          <rPr>
            <sz val="10"/>
            <rFont val="Arial"/>
            <family val="2"/>
          </rPr>
          <t>Ancien: 3 (manuel)</t>
        </r>
      </text>
    </comment>
    <comment ref="D17" authorId="0" shapeId="0" xr:uid="{00000000-0006-0000-0700-00000D000000}">
      <text>
        <r>
          <rPr>
            <sz val="10"/>
            <rFont val="Arial"/>
            <family val="2"/>
          </rPr>
          <t>Ancien: 1 (manuel)</t>
        </r>
      </text>
    </comment>
    <comment ref="E17" authorId="0" shapeId="0" xr:uid="{00000000-0006-0000-0700-000030000000}">
      <text>
        <r>
          <rPr>
            <sz val="10"/>
            <rFont val="Arial"/>
            <family val="2"/>
          </rPr>
          <t>Ancien: 2 (manuel)</t>
        </r>
      </text>
    </comment>
    <comment ref="D18" authorId="0" shapeId="0" xr:uid="{00000000-0006-0000-0700-00000E000000}">
      <text>
        <r>
          <rPr>
            <sz val="10"/>
            <rFont val="Arial"/>
            <family val="2"/>
          </rPr>
          <t>Ancien: 1 (manuel)</t>
        </r>
      </text>
    </comment>
    <comment ref="E18" authorId="0" shapeId="0" xr:uid="{00000000-0006-0000-0700-000031000000}">
      <text>
        <r>
          <rPr>
            <sz val="10"/>
            <rFont val="Arial"/>
            <family val="2"/>
          </rPr>
          <t>Ancien: 4 (manuel)</t>
        </r>
      </text>
    </comment>
    <comment ref="D19" authorId="0" shapeId="0" xr:uid="{00000000-0006-0000-0700-00000F000000}">
      <text>
        <r>
          <rPr>
            <sz val="10"/>
            <rFont val="Arial"/>
            <family val="2"/>
          </rPr>
          <t>Ancien: 1 (manuel)</t>
        </r>
      </text>
    </comment>
    <comment ref="E19" authorId="0" shapeId="0" xr:uid="{00000000-0006-0000-0700-000032000000}">
      <text>
        <r>
          <rPr>
            <sz val="10"/>
            <rFont val="Arial"/>
            <family val="2"/>
          </rPr>
          <t>Ancien: 4 (manuel)</t>
        </r>
      </text>
    </comment>
    <comment ref="D20" authorId="0" shapeId="0" xr:uid="{00000000-0006-0000-0700-000010000000}">
      <text>
        <r>
          <rPr>
            <sz val="10"/>
            <rFont val="Arial"/>
            <family val="2"/>
          </rPr>
          <t>Ancien: 1 (manuel)</t>
        </r>
      </text>
    </comment>
    <comment ref="E20" authorId="0" shapeId="0" xr:uid="{00000000-0006-0000-0700-000033000000}">
      <text>
        <r>
          <rPr>
            <sz val="10"/>
            <rFont val="Arial"/>
            <family val="2"/>
          </rPr>
          <t>Ancien: 5 (manuel)</t>
        </r>
      </text>
    </comment>
    <comment ref="D21" authorId="0" shapeId="0" xr:uid="{00000000-0006-0000-0700-000011000000}">
      <text>
        <r>
          <rPr>
            <sz val="10"/>
            <rFont val="Arial"/>
            <family val="2"/>
          </rPr>
          <t>Ancien: 1 (manuel)</t>
        </r>
      </text>
    </comment>
    <comment ref="E21" authorId="0" shapeId="0" xr:uid="{00000000-0006-0000-0700-000034000000}">
      <text>
        <r>
          <rPr>
            <sz val="10"/>
            <rFont val="Arial"/>
            <family val="2"/>
          </rPr>
          <t>Ancien: 3 (manuel)</t>
        </r>
      </text>
    </comment>
    <comment ref="D22" authorId="0" shapeId="0" xr:uid="{00000000-0006-0000-0700-000012000000}">
      <text>
        <r>
          <rPr>
            <sz val="10"/>
            <rFont val="Arial"/>
            <family val="2"/>
          </rPr>
          <t>Ancien: 1 (manuel)</t>
        </r>
      </text>
    </comment>
    <comment ref="E22" authorId="0" shapeId="0" xr:uid="{00000000-0006-0000-0700-000035000000}">
      <text>
        <r>
          <rPr>
            <sz val="10"/>
            <rFont val="Arial"/>
            <family val="2"/>
          </rPr>
          <t>Ancien: 5 (manuel)</t>
        </r>
      </text>
    </comment>
    <comment ref="D23" authorId="0" shapeId="0" xr:uid="{00000000-0006-0000-0700-000013000000}">
      <text>
        <r>
          <rPr>
            <sz val="10"/>
            <rFont val="Arial"/>
            <family val="2"/>
          </rPr>
          <t>Ancien: 1 (manuel)</t>
        </r>
      </text>
    </comment>
    <comment ref="E23" authorId="0" shapeId="0" xr:uid="{00000000-0006-0000-0700-000036000000}">
      <text>
        <r>
          <rPr>
            <sz val="10"/>
            <rFont val="Arial"/>
            <family val="2"/>
          </rPr>
          <t>Ancien: 5 (manuel)</t>
        </r>
      </text>
    </comment>
    <comment ref="D24" authorId="0" shapeId="0" xr:uid="{00000000-0006-0000-0700-000014000000}">
      <text>
        <r>
          <rPr>
            <sz val="10"/>
            <rFont val="Arial"/>
            <family val="2"/>
          </rPr>
          <t>Ancien: 2 (manuel)</t>
        </r>
      </text>
    </comment>
    <comment ref="E24" authorId="0" shapeId="0" xr:uid="{00000000-0006-0000-0700-000037000000}">
      <text>
        <r>
          <rPr>
            <sz val="10"/>
            <rFont val="Arial"/>
            <family val="2"/>
          </rPr>
          <t>Ancien: 13 (manuel)</t>
        </r>
      </text>
    </comment>
    <comment ref="D25" authorId="0" shapeId="0" xr:uid="{00000000-0006-0000-0700-000015000000}">
      <text>
        <r>
          <rPr>
            <sz val="10"/>
            <rFont val="Arial"/>
            <family val="2"/>
          </rPr>
          <t>Ancien: 1 (manuel)</t>
        </r>
      </text>
    </comment>
    <comment ref="E25" authorId="0" shapeId="0" xr:uid="{00000000-0006-0000-0700-000038000000}">
      <text>
        <r>
          <rPr>
            <sz val="10"/>
            <rFont val="Arial"/>
            <family val="2"/>
          </rPr>
          <t>Ancien: 8 (manuel)</t>
        </r>
      </text>
    </comment>
    <comment ref="D26" authorId="0" shapeId="0" xr:uid="{00000000-0006-0000-0700-000016000000}">
      <text>
        <r>
          <rPr>
            <sz val="10"/>
            <rFont val="Arial"/>
            <family val="2"/>
          </rPr>
          <t>Ancien: 2 (manuel)</t>
        </r>
      </text>
    </comment>
    <comment ref="E26" authorId="0" shapeId="0" xr:uid="{00000000-0006-0000-0700-000039000000}">
      <text>
        <r>
          <rPr>
            <sz val="10"/>
            <rFont val="Arial"/>
            <family val="2"/>
          </rPr>
          <t>Ancien: 13 (manuel)</t>
        </r>
      </text>
    </comment>
    <comment ref="D27" authorId="0" shapeId="0" xr:uid="{00000000-0006-0000-0700-000017000000}">
      <text>
        <r>
          <rPr>
            <sz val="10"/>
            <rFont val="Arial"/>
            <family val="2"/>
          </rPr>
          <t>Ancien: 2 (manuel)</t>
        </r>
      </text>
    </comment>
    <comment ref="E27" authorId="0" shapeId="0" xr:uid="{00000000-0006-0000-0700-00003A000000}">
      <text>
        <r>
          <rPr>
            <sz val="10"/>
            <rFont val="Arial"/>
            <family val="2"/>
          </rPr>
          <t>Ancien: 8 (manuel)</t>
        </r>
      </text>
    </comment>
    <comment ref="D28" authorId="0" shapeId="0" xr:uid="{00000000-0006-0000-0700-000018000000}">
      <text>
        <r>
          <rPr>
            <sz val="10"/>
            <rFont val="Arial"/>
            <family val="2"/>
          </rPr>
          <t>Ancien: 2 (manuel)</t>
        </r>
      </text>
    </comment>
    <comment ref="E28" authorId="0" shapeId="0" xr:uid="{00000000-0006-0000-0700-00003B000000}">
      <text>
        <r>
          <rPr>
            <sz val="10"/>
            <rFont val="Arial"/>
            <family val="2"/>
          </rPr>
          <t>Ancien: 8 (manuel)</t>
        </r>
      </text>
    </comment>
    <comment ref="D29" authorId="0" shapeId="0" xr:uid="{00000000-0006-0000-0700-000019000000}">
      <text>
        <r>
          <rPr>
            <sz val="10"/>
            <rFont val="Arial"/>
            <family val="2"/>
          </rPr>
          <t>Ancien: 1 (manuel)</t>
        </r>
      </text>
    </comment>
    <comment ref="E29" authorId="0" shapeId="0" xr:uid="{00000000-0006-0000-0700-00003C000000}">
      <text>
        <r>
          <rPr>
            <sz val="10"/>
            <rFont val="Arial"/>
            <family val="2"/>
          </rPr>
          <t>Ancien: 3 (manuel)</t>
        </r>
      </text>
    </comment>
    <comment ref="D30" authorId="0" shapeId="0" xr:uid="{00000000-0006-0000-0700-00001A000000}">
      <text>
        <r>
          <rPr>
            <sz val="10"/>
            <rFont val="Arial"/>
            <family val="2"/>
          </rPr>
          <t>Ancien: 1 (manuel)</t>
        </r>
      </text>
    </comment>
    <comment ref="E30" authorId="0" shapeId="0" xr:uid="{00000000-0006-0000-0700-00003D000000}">
      <text>
        <r>
          <rPr>
            <sz val="10"/>
            <rFont val="Arial"/>
            <family val="2"/>
          </rPr>
          <t>Ancien: 5 (manuel)</t>
        </r>
      </text>
    </comment>
    <comment ref="D31" authorId="0" shapeId="0" xr:uid="{00000000-0006-0000-0700-00001B000000}">
      <text>
        <r>
          <rPr>
            <sz val="10"/>
            <rFont val="Arial"/>
            <family val="2"/>
          </rPr>
          <t>Ancien: 1 (manuel)</t>
        </r>
      </text>
    </comment>
    <comment ref="E31" authorId="0" shapeId="0" xr:uid="{00000000-0006-0000-0700-00003E000000}">
      <text>
        <r>
          <rPr>
            <sz val="10"/>
            <rFont val="Arial"/>
            <family val="2"/>
          </rPr>
          <t>Ancien: 5 (manuel)</t>
        </r>
      </text>
    </comment>
    <comment ref="D32" authorId="0" shapeId="0" xr:uid="{00000000-0006-0000-0700-00001C000000}">
      <text>
        <r>
          <rPr>
            <sz val="10"/>
            <rFont val="Arial"/>
            <family val="2"/>
          </rPr>
          <t>Ancien: 1 (manuel)</t>
        </r>
      </text>
    </comment>
    <comment ref="E32" authorId="0" shapeId="0" xr:uid="{00000000-0006-0000-0700-00003F000000}">
      <text>
        <r>
          <rPr>
            <sz val="10"/>
            <rFont val="Arial"/>
            <family val="2"/>
          </rPr>
          <t>Ancien: 3 (manuel)</t>
        </r>
      </text>
    </comment>
    <comment ref="D33" authorId="0" shapeId="0" xr:uid="{00000000-0006-0000-0700-00001D000000}">
      <text>
        <r>
          <rPr>
            <sz val="10"/>
            <rFont val="Arial"/>
            <family val="2"/>
          </rPr>
          <t>Ancien: 1 (manuel)</t>
        </r>
      </text>
    </comment>
    <comment ref="E33" authorId="0" shapeId="0" xr:uid="{00000000-0006-0000-0700-000040000000}">
      <text>
        <r>
          <rPr>
            <sz val="10"/>
            <rFont val="Arial"/>
            <family val="2"/>
          </rPr>
          <t>Ancien: 5 (manuel)</t>
        </r>
      </text>
    </comment>
    <comment ref="D34" authorId="0" shapeId="0" xr:uid="{00000000-0006-0000-0700-00001E000000}">
      <text>
        <r>
          <rPr>
            <sz val="10"/>
            <rFont val="Arial"/>
            <family val="2"/>
          </rPr>
          <t>Ancien: 2 (manuel)</t>
        </r>
      </text>
    </comment>
    <comment ref="E34" authorId="0" shapeId="0" xr:uid="{00000000-0006-0000-0700-000041000000}">
      <text>
        <r>
          <rPr>
            <sz val="10"/>
            <rFont val="Arial"/>
            <family val="2"/>
          </rPr>
          <t>Ancien: 11 (manuel)</t>
        </r>
      </text>
    </comment>
    <comment ref="D35" authorId="0" shapeId="0" xr:uid="{00000000-0006-0000-0700-00001F000000}">
      <text>
        <r>
          <rPr>
            <sz val="10"/>
            <rFont val="Arial"/>
            <family val="2"/>
          </rPr>
          <t>Ancien: 2 (manuel)</t>
        </r>
      </text>
    </comment>
    <comment ref="E35" authorId="0" shapeId="0" xr:uid="{00000000-0006-0000-0700-000042000000}">
      <text>
        <r>
          <rPr>
            <sz val="10"/>
            <rFont val="Arial"/>
            <family val="2"/>
          </rPr>
          <t>Ancien: 13 (manuel)</t>
        </r>
      </text>
    </comment>
    <comment ref="D36" authorId="0" shapeId="0" xr:uid="{00000000-0006-0000-0700-000020000000}">
      <text>
        <r>
          <rPr>
            <sz val="10"/>
            <rFont val="Arial"/>
            <family val="2"/>
          </rPr>
          <t>Ancien: 1 (manuel)</t>
        </r>
      </text>
    </comment>
    <comment ref="E36" authorId="0" shapeId="0" xr:uid="{00000000-0006-0000-0700-000043000000}">
      <text>
        <r>
          <rPr>
            <sz val="10"/>
            <rFont val="Arial"/>
            <family val="2"/>
          </rPr>
          <t>Ancien: 8 (manuel)</t>
        </r>
      </text>
    </comment>
    <comment ref="D37" authorId="0" shapeId="0" xr:uid="{00000000-0006-0000-0700-000021000000}">
      <text>
        <r>
          <rPr>
            <sz val="10"/>
            <rFont val="Arial"/>
            <family val="2"/>
          </rPr>
          <t>Ancien: 1 (manuel)</t>
        </r>
      </text>
    </comment>
    <comment ref="E37" authorId="0" shapeId="0" xr:uid="{00000000-0006-0000-0700-000044000000}">
      <text>
        <r>
          <rPr>
            <sz val="10"/>
            <rFont val="Arial"/>
            <family val="2"/>
          </rPr>
          <t>Ancien: 13 (manuel)</t>
        </r>
      </text>
    </comment>
    <comment ref="D38" authorId="0" shapeId="0" xr:uid="{00000000-0006-0000-0700-000022000000}">
      <text>
        <r>
          <rPr>
            <sz val="10"/>
            <rFont val="Arial"/>
            <family val="2"/>
          </rPr>
          <t>Ancien: 1 (manuel)</t>
        </r>
      </text>
    </comment>
    <comment ref="E38" authorId="0" shapeId="0" xr:uid="{00000000-0006-0000-0700-000045000000}">
      <text>
        <r>
          <rPr>
            <sz val="10"/>
            <rFont val="Arial"/>
            <family val="2"/>
          </rPr>
          <t>Ancien: 13 (manuel)</t>
        </r>
      </text>
    </comment>
    <comment ref="D39" authorId="0" shapeId="0" xr:uid="{00000000-0006-0000-0700-000023000000}">
      <text>
        <r>
          <rPr>
            <sz val="10"/>
            <rFont val="Arial"/>
            <family val="2"/>
          </rPr>
          <t>Ancien: 1 (manuel)</t>
        </r>
      </text>
    </comment>
    <comment ref="E39" authorId="0" shapeId="0" xr:uid="{00000000-0006-0000-0700-000046000000}">
      <text>
        <r>
          <rPr>
            <sz val="10"/>
            <rFont val="Arial"/>
            <family val="2"/>
          </rPr>
          <t>Ancien: 13 (manuel)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Gwenvael Le Tallec</author>
  </authors>
  <commentList>
    <comment ref="B5" authorId="0" shapeId="0" xr:uid="{00000000-0006-0000-0C00-000001000000}">
      <text>
        <r>
          <rPr>
            <sz val="10"/>
            <rFont val="Arial"/>
            <family val="2"/>
          </rPr>
          <t>Gwenvael Le Tallec:
WIP limit recommandé: ~1/3 de capacité équipe (4 pers). Source: Features &amp; US + Sprint Tracker</t>
        </r>
      </text>
    </comment>
    <comment ref="C5" authorId="0" shapeId="0" xr:uid="{00000000-0006-0000-0C00-00000C000000}">
      <text>
        <r>
          <rPr>
            <sz val="10"/>
            <rFont val="Arial"/>
            <family val="2"/>
          </rPr>
          <t>Gwenvael Le Tallec:
4 features terminées / 8 semaines (4 sprints x 2 sem). Source: Features &amp; US (statut Terminé, VS1)</t>
        </r>
      </text>
    </comment>
    <comment ref="D5" authorId="0" shapeId="0" xr:uid="{00000000-0006-0000-0C00-000012000000}">
      <text>
        <r>
          <rPr>
            <sz val="10"/>
            <rFont val="Arial"/>
            <family val="2"/>
          </rPr>
          <t>Gwenvael Le Tallec:
Estimé à 1 sprint (2 semaines = 14 jours). Source: Sprint Tracker cadence</t>
        </r>
      </text>
    </comment>
    <comment ref="E5" authorId="0" shapeId="0" xr:uid="{00000000-0006-0000-0C00-000015000000}">
      <text>
        <r>
          <rPr>
            <sz val="10"/>
            <rFont val="Arial"/>
            <family val="2"/>
          </rPr>
          <t>Gwenvael Le Tallec:
50% features terminées (4/8). Flux sain.</t>
        </r>
      </text>
    </comment>
    <comment ref="B6" authorId="0" shapeId="0" xr:uid="{00000000-0006-0000-0C00-000002000000}">
      <text>
        <r>
          <rPr>
            <sz val="10"/>
            <rFont val="Arial"/>
            <family val="2"/>
          </rPr>
          <t>Gwenvael Le Tallec:
WIP limit recommandé. Source: Features &amp; US + Sprint Tracker</t>
        </r>
      </text>
    </comment>
    <comment ref="C6" authorId="0" shapeId="0" xr:uid="{00000000-0006-0000-0C00-00000D000000}">
      <text>
        <r>
          <rPr>
            <sz val="10"/>
            <rFont val="Arial"/>
            <family val="2"/>
          </rPr>
          <t>Gwenvael Le Tallec:
0 features terminées sur 9 en PI-1. Source: Features &amp; US (statut, VS2)</t>
        </r>
      </text>
    </comment>
    <comment ref="D6" authorId="0" shapeId="0" xr:uid="{00000000-0006-0000-0C00-000013000000}">
      <text>
        <r>
          <rPr>
            <sz val="10"/>
            <rFont val="Arial"/>
            <family val="2"/>
          </rPr>
          <t>Gwenvael Le Tallec:
Aucune feature terminée, temps de cycle non mesurable</t>
        </r>
      </text>
    </comment>
    <comment ref="E6" authorId="0" shapeId="0" xr:uid="{00000000-0006-0000-0C00-000016000000}">
      <text>
        <r>
          <rPr>
            <sz val="10"/>
            <rFont val="Arial"/>
            <family val="2"/>
          </rPr>
          <t>Gwenvael Le Tallec:
0% features terminées (0/9). Flux bloqué — aucune livraison VS2 en PI-1.</t>
        </r>
      </text>
    </comment>
    <comment ref="B7" authorId="0" shapeId="0" xr:uid="{00000000-0006-0000-0C00-000003000000}">
      <text>
        <r>
          <rPr>
            <sz val="10"/>
            <rFont val="Arial"/>
            <family val="2"/>
          </rPr>
          <t>Gwenvael Le Tallec:
WIP limit recommandé. Source: Features &amp; US + Sprint Tracker</t>
        </r>
      </text>
    </comment>
    <comment ref="C7" authorId="0" shapeId="0" xr:uid="{00000000-0006-0000-0C00-00000E000000}">
      <text>
        <r>
          <rPr>
            <sz val="10"/>
            <rFont val="Arial"/>
            <family val="2"/>
          </rPr>
          <t>Gwenvael Le Tallec:
5 features terminées / 8 semaines. Source: Features &amp; US (statut Terminé, Transverse)</t>
        </r>
      </text>
    </comment>
    <comment ref="D7" authorId="0" shapeId="0" xr:uid="{00000000-0006-0000-0C00-000014000000}">
      <text>
        <r>
          <rPr>
            <sz val="10"/>
            <rFont val="Arial"/>
            <family val="2"/>
          </rPr>
          <t>Gwenvael Le Tallec:
Estimé à 1 sprint (14 jours). Source: Sprint Tracker cadence</t>
        </r>
      </text>
    </comment>
    <comment ref="E7" authorId="0" shapeId="0" xr:uid="{00000000-0006-0000-0C00-000017000000}">
      <text>
        <r>
          <rPr>
            <sz val="10"/>
            <rFont val="Arial"/>
            <family val="2"/>
          </rPr>
          <t>Gwenvael Le Tallec:
71% features terminées (5/7). Flux très sain.</t>
        </r>
      </text>
    </comment>
    <comment ref="B8" authorId="0" shapeId="0" xr:uid="{00000000-0006-0000-0C00-000004000000}">
      <text>
        <r>
          <rPr>
            <sz val="10"/>
            <rFont val="Arial"/>
            <family val="2"/>
          </rPr>
          <t>Gwenvael Le Tallec:
Capacité réservée pour support/dette technique</t>
        </r>
      </text>
    </comment>
    <comment ref="C8" authorId="0" shapeId="0" xr:uid="{00000000-0006-0000-0C00-00000F000000}">
      <text>
        <r>
          <rPr>
            <sz val="10"/>
            <rFont val="Arial"/>
            <family val="2"/>
          </rPr>
          <t>Gwenvael Le Tallec:
Pas de données spécifiques — aucune feature catégorisée Support/Dette en PI-1</t>
        </r>
      </text>
    </comment>
    <comment ref="E8" authorId="0" shapeId="0" xr:uid="{00000000-0006-0000-0C00-000018000000}">
      <text>
        <r>
          <rPr>
            <sz val="10"/>
            <rFont val="Arial"/>
            <family val="2"/>
          </rPr>
          <t>Gwenvael Le Tallec:
Non mesuré — pas de features dans cette catégorie en PI-1</t>
        </r>
      </text>
    </comment>
    <comment ref="B9" authorId="0" shapeId="0" xr:uid="{00000000-0006-0000-0C00-000005000000}">
      <text>
        <r>
          <rPr>
            <sz val="10"/>
            <rFont val="Arial"/>
            <family val="2"/>
          </rPr>
          <t>Gwenvael Le Tallec:
Capacité réservée pour infra</t>
        </r>
      </text>
    </comment>
    <comment ref="C9" authorId="0" shapeId="0" xr:uid="{00000000-0006-0000-0C00-000010000000}">
      <text>
        <r>
          <rPr>
            <sz val="10"/>
            <rFont val="Arial"/>
            <family val="2"/>
          </rPr>
          <t>Gwenvael Le Tallec:
Pas de données spécifiques — aucune feature catégorisée Intégration/Infra en PI-1</t>
        </r>
      </text>
    </comment>
    <comment ref="E9" authorId="0" shapeId="0" xr:uid="{00000000-0006-0000-0C00-000019000000}">
      <text>
        <r>
          <rPr>
            <sz val="10"/>
            <rFont val="Arial"/>
            <family val="2"/>
          </rPr>
          <t>Gwenvael Le Tallec:
Non mesuré</t>
        </r>
      </text>
    </comment>
    <comment ref="B10" authorId="0" shapeId="0" xr:uid="{00000000-0006-0000-0C00-000006000000}">
      <text>
        <r>
          <rPr>
            <sz val="10"/>
            <rFont val="Arial"/>
            <family val="2"/>
          </rPr>
          <t>Gwenvael Le Tallec:
Capacité réservée pour innovation</t>
        </r>
      </text>
    </comment>
    <comment ref="C10" authorId="0" shapeId="0" xr:uid="{00000000-0006-0000-0C00-000011000000}">
      <text>
        <r>
          <rPr>
            <sz val="10"/>
            <rFont val="Arial"/>
            <family val="2"/>
          </rPr>
          <t>Gwenvael Le Tallec:
Pas de données spécifiques en PI-1</t>
        </r>
      </text>
    </comment>
    <comment ref="E10" authorId="0" shapeId="0" xr:uid="{00000000-0006-0000-0C00-00001A000000}">
      <text>
        <r>
          <rPr>
            <sz val="10"/>
            <rFont val="Arial"/>
            <family val="2"/>
          </rPr>
          <t>Gwenvael Le Tallec:
Non mesuré</t>
        </r>
      </text>
    </comment>
    <comment ref="B15" authorId="0" shapeId="0" xr:uid="{00000000-0006-0000-0C00-000007000000}">
      <text>
        <r>
          <rPr>
            <sz val="10"/>
            <rFont val="Arial"/>
            <family val="2"/>
          </rPr>
          <t>Gwenvael Le Tallec:
8 features sur 24 en PI-1. Source: Features &amp; US</t>
        </r>
      </text>
    </comment>
    <comment ref="B16" authorId="0" shapeId="0" xr:uid="{00000000-0006-0000-0C00-000008000000}">
      <text>
        <r>
          <rPr>
            <sz val="10"/>
            <rFont val="Arial"/>
            <family val="2"/>
          </rPr>
          <t>Gwenvael Le Tallec:
9 features sur 24 en PI-1. Source: Features &amp; US</t>
        </r>
      </text>
    </comment>
    <comment ref="B17" authorId="0" shapeId="0" xr:uid="{00000000-0006-0000-0C00-000009000000}">
      <text>
        <r>
          <rPr>
            <sz val="10"/>
            <rFont val="Arial"/>
            <family val="2"/>
          </rPr>
          <t>Gwenvael Le Tallec:
7 features sur 24 en PI-1. Source: Features &amp; US</t>
        </r>
      </text>
    </comment>
    <comment ref="B18" authorId="0" shapeId="0" xr:uid="{00000000-0006-0000-0C00-00000A000000}">
      <text>
        <r>
          <rPr>
            <sz val="10"/>
            <rFont val="Arial"/>
            <family val="2"/>
          </rPr>
          <t>Gwenvael Le Tallec:
Pas de features dédiées Support/Dette en PI-1</t>
        </r>
      </text>
    </comment>
    <comment ref="B19" authorId="0" shapeId="0" xr:uid="{00000000-0006-0000-0C00-00000B000000}">
      <text>
        <r>
          <rPr>
            <sz val="10"/>
            <rFont val="Arial"/>
            <family val="2"/>
          </rPr>
          <t>Gwenvael Le Tallec:
Pas de features dédiées Apprentissage en PI-1</t>
        </r>
      </text>
    </comment>
  </commentList>
</comments>
</file>

<file path=xl/sharedStrings.xml><?xml version="1.0" encoding="utf-8"?>
<sst xmlns="http://schemas.openxmlformats.org/spreadsheetml/2006/main" count="5514" uniqueCount="2501">
  <si>
    <t>NEOPRO SAFe Portfolio Dashboard</t>
  </si>
  <si>
    <t>PORTFOLIO OVERVIEW</t>
  </si>
  <si>
    <t>Epics</t>
  </si>
  <si>
    <t>Features</t>
  </si>
  <si>
    <t>User Stories</t>
  </si>
  <si>
    <t>Total SP</t>
  </si>
  <si>
    <t>SP PI-1</t>
  </si>
  <si>
    <t>SP PI-2</t>
  </si>
  <si>
    <t>SP PI-3</t>
  </si>
  <si>
    <t>ARR (K€)</t>
  </si>
  <si>
    <t>EPICS STATUS</t>
  </si>
  <si>
    <t>FEATURES STATUS</t>
  </si>
  <si>
    <t>RISKS (ROAM)</t>
  </si>
  <si>
    <t>FLOW DISTRIBUTION</t>
  </si>
  <si>
    <t>→ Inspect &amp; Adapt</t>
  </si>
  <si>
    <t>En cours</t>
  </si>
  <si>
    <t>Terminé</t>
  </si>
  <si>
    <t>Active</t>
  </si>
  <si>
    <t>Monétisation</t>
  </si>
  <si>
    <t>Backlog</t>
  </si>
  <si>
    <t>Atténué</t>
  </si>
  <si>
    <t>Exp. Match</t>
  </si>
  <si>
    <t>Résolu</t>
  </si>
  <si>
    <t>Acquisition</t>
  </si>
  <si>
    <t>Total</t>
  </si>
  <si>
    <t>Excellence Ops</t>
  </si>
  <si>
    <t>ROADMAP SUMMARY</t>
  </si>
  <si>
    <t>PI</t>
  </si>
  <si>
    <t>Période</t>
  </si>
  <si>
    <t>Initiatives clés</t>
  </si>
  <si>
    <t>Planned SP</t>
  </si>
  <si>
    <t>Status</t>
  </si>
  <si>
    <t>PI-1</t>
  </si>
  <si>
    <t>Fév-Mar 2026</t>
  </si>
  <si>
    <t>Sponsors + Analytics + Onboarding + Résilience WiFi</t>
  </si>
  <si>
    <t>🟢 Active</t>
  </si>
  <si>
    <t>PI-2</t>
  </si>
  <si>
    <t>Avr-Mai 2026</t>
  </si>
  <si>
    <t>Régie + Motion + Email + Score API Fédérations</t>
  </si>
  <si>
    <t>🟡 Planned</t>
  </si>
  <si>
    <t>PI-3</t>
  </si>
  <si>
    <t>Juin-Juil 2026</t>
  </si>
  <si>
    <t>Multi-écrans + Marque blanche + Billetterie + ML + OAuth</t>
  </si>
  <si>
    <t>⚪ Backlog</t>
  </si>
  <si>
    <t>SPRINT VELOCITY (PI-1)</t>
  </si>
  <si>
    <t>Sprint</t>
  </si>
  <si>
    <t>S1</t>
  </si>
  <si>
    <t>S2</t>
  </si>
  <si>
    <t>S3</t>
  </si>
  <si>
    <t>Avg</t>
  </si>
  <si>
    <t>S5</t>
  </si>
  <si>
    <t>S6</t>
  </si>
  <si>
    <t>Actual SP</t>
  </si>
  <si>
    <t>NAVIGATION RAPIDE</t>
  </si>
  <si>
    <t>→ Glossaire</t>
  </si>
  <si>
    <t>→ Vision &amp; OKR</t>
  </si>
  <si>
    <t>→ Guide Gabin</t>
  </si>
  <si>
    <t>→ Value Streams</t>
  </si>
  <si>
    <t>→ Epics &amp; LBC</t>
  </si>
  <si>
    <t>→ Lean Business Cases</t>
  </si>
  <si>
    <t>→ Features &amp; US</t>
  </si>
  <si>
    <t>→ PI Objectives</t>
  </si>
  <si>
    <t>→ Sprint Tracker</t>
  </si>
  <si>
    <t>→ ROAM</t>
  </si>
  <si>
    <t>→ Flow Metrics</t>
  </si>
  <si>
    <t>→ Implemented Backlog</t>
  </si>
  <si>
    <t>→ User Stories</t>
  </si>
  <si>
    <t>→ _Metadata</t>
  </si>
  <si>
    <t>GUIDE D'ONBOARDING — GABIN</t>
  </si>
  <si>
    <t>Bienvenue dans le Portfolio SAFe de NEOPRO ! Ce guide t'explique comment naviguer et utiliser ce fichier.</t>
  </si>
  <si>
    <t>← Dashboard</t>
  </si>
  <si>
    <t>C'EST QUOI CE FICHIER ?</t>
  </si>
  <si>
    <t>Ce fichier Excel est le Portfolio SAFe (Scaled Agile Framework) de NEOPRO. C'est notre source unique de vérité pour piloter le produit : vision, objectifs, epics, features, user stories, suivi des sprints et métriques de performance.</t>
  </si>
  <si>
    <t>NOTRE CADRE SAFe SIMPLIFIÉ</t>
  </si>
  <si>
    <t>PI (Program Increment)</t>
  </si>
  <si>
    <t>Équipe</t>
  </si>
  <si>
    <t>Rythme</t>
  </si>
  <si>
    <t>Priorisation WSJF</t>
  </si>
  <si>
    <t>6 semaines = 3 sprints de 2 semaines
PI-1 : Fév-Mar 2026
PI-2 : Avr-Mai 2026
PI-3 : Juin-Juil 2026</t>
  </si>
  <si>
    <t>Gwenvael (PO + Dev)
Gabin (Dev)
Solo-dev augmenté, pas de Scrum Master</t>
  </si>
  <si>
    <t>Sprint = 2 semaines
Review chaque vendredi fin de sprint
Inspect &amp; Adapt en fin de PI</t>
  </si>
  <si>
    <t>WSJF = (BV + TC + RR) / Job Size
Plus le score est élevé,
plus c'est prioritaire</t>
  </si>
  <si>
    <t>CARTE DES FEUILLES — OÙ TROUVER QUOI</t>
  </si>
  <si>
    <t>Feuille</t>
  </si>
  <si>
    <t>Ce qu'elle contient</t>
  </si>
  <si>
    <t>Quand la consulter</t>
  </si>
  <si>
    <t>Dashboard</t>
  </si>
  <si>
    <t>Vue d'ensemble : KPIs, statuts, roadmap, vélocité</t>
  </si>
  <si>
    <t>Chaque matin — ton point de départ</t>
  </si>
  <si>
    <t>Glossaire</t>
  </si>
  <si>
    <t>Définitions des termes SAFe et NEOPRO</t>
  </si>
  <si>
    <t>Quand un terme te semble flou</t>
  </si>
  <si>
    <t>Vision &amp; OKR</t>
  </si>
  <si>
    <t>Vision produit, mission, OKRs trimestriels</t>
  </si>
  <si>
    <t>Pour comprendre le "pourquoi"</t>
  </si>
  <si>
    <t>Value Streams</t>
  </si>
  <si>
    <t>Flux de valeur (VS1 Club→Screen, VS2 Sponsor→Impression)</t>
  </si>
  <si>
    <t>Pour comprendre l'architecture métier</t>
  </si>
  <si>
    <t>Epics &amp; LBC</t>
  </si>
  <si>
    <t>Grands chantiers + scores WSJF + critères Go/No-Go</t>
  </si>
  <si>
    <t>Pour voir les gros chantiers en cours</t>
  </si>
  <si>
    <t>Lean Business Cases</t>
  </si>
  <si>
    <t>Justifications détaillées de chaque Epic</t>
  </si>
  <si>
    <t>Avant de démarrer un Epic</t>
  </si>
  <si>
    <t>Features &amp; US</t>
  </si>
  <si>
    <t>Features avec décompte US, SP, statut, sprint</t>
  </si>
  <si>
    <t>Pour planifier ton sprint</t>
  </si>
  <si>
    <t>PI Objectives</t>
  </si>
  <si>
    <t>Objectifs engagés et étendus par PI</t>
  </si>
  <si>
    <t>En début de PI et en review</t>
  </si>
  <si>
    <t>Sprint Tracker</t>
  </si>
  <si>
    <t>SP planifiés vs réalisés, vélocité, burndown</t>
  </si>
  <si>
    <t>Chaque fin de sprint</t>
  </si>
  <si>
    <t>ROAM</t>
  </si>
  <si>
    <t>Risques : probabilité, impact, mitigation</t>
  </si>
  <si>
    <t>Quand tu sens un blocage</t>
  </si>
  <si>
    <t>Inspect &amp; Adapt</t>
  </si>
  <si>
    <t>Rétrospective PI : features livrées, métriques, décisions</t>
  </si>
  <si>
    <t>En fin de PI</t>
  </si>
  <si>
    <t>Flow Metrics</t>
  </si>
  <si>
    <t>WIP, lead time, throughput, flow distribution</t>
  </si>
  <si>
    <t>Pour optimiser le process</t>
  </si>
  <si>
    <t>Implemented Backlog</t>
  </si>
  <si>
    <t>174 fonctionnalités déjà en production</t>
  </si>
  <si>
    <t>Pour savoir ce qui existe déjà</t>
  </si>
  <si>
    <t>250 US avec critères d'acceptation, SP, domaine</t>
  </si>
  <si>
    <t>Pour coder — ta source principale</t>
  </si>
  <si>
    <t>TON WORKFLOW QUOTIDIEN</t>
  </si>
  <si>
    <t>1.  Dashboard</t>
  </si>
  <si>
    <t>Checker les KPIs du jour, la vélocité, les risques</t>
  </si>
  <si>
    <t>2.  User Stories</t>
  </si>
  <si>
    <t>Trouver ta prochaine US (filtre Sprint + Statut = Backlog)</t>
  </si>
  <si>
    <t>3.  Critères d'acceptation</t>
  </si>
  <si>
    <t>Lire la colonne H de l'US pour savoir quoi implémenter</t>
  </si>
  <si>
    <t>4.  Code + PR</t>
  </si>
  <si>
    <t>Implémenter, tester, push. Conventional Commits : feat(scope): ...</t>
  </si>
  <si>
    <t>5.  Sprint Tracker</t>
  </si>
  <si>
    <t>Mettre à jour les SP réalisés en fin de sprint</t>
  </si>
  <si>
    <t>6.  ROAM</t>
  </si>
  <si>
    <t>Si blocage → ajouter un risque avec mitigation</t>
  </si>
  <si>
    <t>CONVENTIONS &amp; LISTES DÉROULANTES</t>
  </si>
  <si>
    <t>Convention</t>
  </si>
  <si>
    <t>Valeurs</t>
  </si>
  <si>
    <t>Note</t>
  </si>
  <si>
    <t>Statuts</t>
  </si>
  <si>
    <t>Backlog → En cours → Terminé → Livré</t>
  </si>
  <si>
    <t>Progression standard d'un item</t>
  </si>
  <si>
    <t>Sprints</t>
  </si>
  <si>
    <t>S1, S2, S3 (par PI) — S4/S5/S6 pour PI-2/PI-3</t>
  </si>
  <si>
    <t>Chaque PI a 3 sprints de 2 sem</t>
  </si>
  <si>
    <t>Priorité Features</t>
  </si>
  <si>
    <t>1 = haute, 2 = moyenne, 3 = basse</t>
  </si>
  <si>
    <t>Numérique, pas MoSCoW</t>
  </si>
  <si>
    <t>SP (Story Points)</t>
  </si>
  <si>
    <t>Fibonacci : 1, 2, 3, 5, 8</t>
  </si>
  <si>
    <t>Estime la complexité, pas le temps</t>
  </si>
  <si>
    <t>WSJF</t>
  </si>
  <si>
    <t>(BV + TC + RR) / Job Size</t>
  </si>
  <si>
    <t>Calculé auto dans Epics &amp; LBC</t>
  </si>
  <si>
    <t>Domaines</t>
  </si>
  <si>
    <t>12 domaines (Sponsors, Match, Réseau...)</t>
  </si>
  <si>
    <t>Dropdown dans User Stories col I</t>
  </si>
  <si>
    <t>Résolu / Accepté / Atténué / Pris en charge</t>
  </si>
  <si>
    <t>Classification des risques</t>
  </si>
  <si>
    <t>Listes liées</t>
  </si>
  <si>
    <t>Epic ID, Feature ID, VS, Thème</t>
  </si>
  <si>
    <t>Dropdown dynamiques cross-sheet</t>
  </si>
  <si>
    <t>CHIFFRES CLÉS À RETENIR</t>
  </si>
  <si>
    <t>21 Epics</t>
  </si>
  <si>
    <t>35 Features</t>
  </si>
  <si>
    <t>250 User Stories</t>
  </si>
  <si>
    <t>174 en prod</t>
  </si>
  <si>
    <t>79 SP PI-1</t>
  </si>
  <si>
    <t>3 sprints / PI</t>
  </si>
  <si>
    <t>2235 tests</t>
  </si>
  <si>
    <t>50+ Pi en flotte</t>
  </si>
  <si>
    <t>LIENS RAPIDES</t>
  </si>
  <si>
    <t>→ User Stories (ta feuille principale)</t>
  </si>
  <si>
    <t>→ ROAM (risques)</t>
  </si>
  <si>
    <t>→ Implemented Backlog (ce qui existe)</t>
  </si>
  <si>
    <t>TIPS</t>
  </si>
  <si>
    <t xml:space="preserve">  •  Les cellules avec un petit triangle ont des listes déroulantes — clique dessus pour voir les options</t>
  </si>
  <si>
    <t xml:space="preserve">  •  Les liens bleus soulignés naviguent vers d'autres feuilles</t>
  </si>
  <si>
    <t xml:space="preserve">  •  Les formules se recalculent automatiquement — ne modifie pas les cellules avec des = </t>
  </si>
  <si>
    <t xml:space="preserve">  •  En cas de doute sur un terme → onglet Glossaire</t>
  </si>
  <si>
    <t xml:space="preserve">  •  Conventional Commits obligatoires : feat(scope): ... / fix(scope): ...</t>
  </si>
  <si>
    <t xml:space="preserve">  •  Ne jamais changer le format des api_key des sites (casserait tous les Pi)</t>
  </si>
  <si>
    <t>GLOSSAIRE SAFe — NEOPRO</t>
  </si>
  <si>
    <t>Terme</t>
  </si>
  <si>
    <t>Définition</t>
  </si>
  <si>
    <t>Epic</t>
  </si>
  <si>
    <t>Grande initiative couvrant plusieurs Features, liée à une stratégie business</t>
  </si>
  <si>
    <t>Feature</t>
  </si>
  <si>
    <t>Bloc fonctionnel apportant valeur, découpé en User Stories</t>
  </si>
  <si>
    <t>User Story</t>
  </si>
  <si>
    <t>Récit utilisateur livrable en 1-2 sprints (taille ~5 SP)</t>
  </si>
  <si>
    <t>Story Point (SP)</t>
  </si>
  <si>
    <t>Unité de complexité relative (Fibonacci: 1,2,3,5,8...)</t>
  </si>
  <si>
    <t>Itération 2 semaines de travail continu</t>
  </si>
  <si>
    <t>Période de 6 semaines = 3 sprints de 2 semaines (cadence NEOPRO)</t>
  </si>
  <si>
    <t>Value Stream</t>
  </si>
  <si>
    <t>Flux continu de création de valeur (OVS ou DVS)</t>
  </si>
  <si>
    <t>WSJF (Weighted Shortest Job First)</t>
  </si>
  <si>
    <t>Priorisation: (Business Value + Time Criticality) / Job Size</t>
  </si>
  <si>
    <t>MoSCoW</t>
  </si>
  <si>
    <t>Must (obligatoire), Should (important), Could (sympa), Won't (exclu)</t>
  </si>
  <si>
    <t>Lean Business Case</t>
  </si>
  <si>
    <t>Justification business simplifée (coût vs bénéfice)</t>
  </si>
  <si>
    <t>Critères d'acceptation</t>
  </si>
  <si>
    <t>Conditions pour que la US soit "Done" (définition</t>
  </si>
  <si>
    <t>Pile ordonnée de Features/US prêtes ou futures</t>
  </si>
  <si>
    <t>Velocity</t>
  </si>
  <si>
    <t>SP livrés en moyenne par sprint (mesure de cadence)</t>
  </si>
  <si>
    <t>Carry-over</t>
  </si>
  <si>
    <t>US commencée mais non finie avant fin de sprint</t>
  </si>
  <si>
    <t>Business Value (BV)</t>
  </si>
  <si>
    <t>Score 1-10 indiquant impact client/revenu (PI Objective)</t>
  </si>
  <si>
    <t>Predictability</t>
  </si>
  <si>
    <t>% d'objectives commis atteints dans le PI</t>
  </si>
  <si>
    <t>Risk log: Resolved, Owned, Accepted, Mitigated</t>
  </si>
  <si>
    <t>WIP, Throughput, Cycle Time pour chaque Value Stream</t>
  </si>
  <si>
    <t>WIP (Work In Progress)</t>
  </si>
  <si>
    <t>Limite de tâches simultanées pour fluider</t>
  </si>
  <si>
    <t>CFD (Cumulative Flow Diagram)</t>
  </si>
  <si>
    <t>Graphe d'accumulation des status (backlog → done)</t>
  </si>
  <si>
    <t>DVS (Dedicated Value Stream)</t>
  </si>
  <si>
    <t>VS interne Neopro (plateforme produit)</t>
  </si>
  <si>
    <t>OVS (Outcome Value Stream)</t>
  </si>
  <si>
    <t>VS client (club à écran, sponsor à impression)</t>
  </si>
  <si>
    <t>I&amp;A (Inspect &amp; Adapt)</t>
  </si>
  <si>
    <t>Rétrospective SAFe collective tous les PIs</t>
  </si>
  <si>
    <t>NEOPRO — Vision, Thèmes Stratégiques &amp; OKR 2026</t>
  </si>
  <si>
    <t>Vision Produit</t>
  </si>
  <si>
    <t>Devenir le partenaire de référence des clubs sportifs amateurs en France pour professionnaliser leur expérience match et sécuriser leurs revenus.</t>
  </si>
  <si>
    <t>4 Thèmes Stratégiques</t>
  </si>
  <si>
    <t>ID</t>
  </si>
  <si>
    <t>Thème</t>
  </si>
  <si>
    <t>Description</t>
  </si>
  <si>
    <t>OVS lié</t>
  </si>
  <si>
    <t>Horizon</t>
  </si>
  <si>
    <t>Poids budget</t>
  </si>
  <si>
    <t>TS-1</t>
  </si>
  <si>
    <t>Monétisation Sponsors</t>
  </si>
  <si>
    <t>Maximiser les revenus sponsors par club via le ciblage local, les preuves de diffusion et le self-service annonceur</t>
  </si>
  <si>
    <t>OVS-2</t>
  </si>
  <si>
    <t>PI-1 → PI-3</t>
  </si>
  <si>
    <t>35%</t>
  </si>
  <si>
    <t>TS-2</t>
  </si>
  <si>
    <t>Expérience Match Live</t>
  </si>
  <si>
    <t>Offrir la meilleure expérience match jour (overlay multi-sport, timer, recording, phases) pour engager les clubs</t>
  </si>
  <si>
    <t>OVS-1</t>
  </si>
  <si>
    <t>PI-1 → PI-2</t>
  </si>
  <si>
    <t>25%</t>
  </si>
  <si>
    <t>TS-3</t>
  </si>
  <si>
    <t>Acquisition &amp; Croissance</t>
  </si>
  <si>
    <t>Accélérer l'onboarding clubs (time-to-value &lt;1j), réduire le churn (&lt;5%/an), atteindre 100 clubs actifs</t>
  </si>
  <si>
    <t>OVS-1 + OVS-2</t>
  </si>
  <si>
    <t>PI-2 → PI-3</t>
  </si>
  <si>
    <t>20%</t>
  </si>
  <si>
    <t>TS-4</t>
  </si>
  <si>
    <t>Excellence Opérationnelle</t>
  </si>
  <si>
    <t>Garantir 99.5% uptime, &lt;2h MTTR, monitoring proactif, OTA fiable, réseau résilient</t>
  </si>
  <si>
    <t>DVS-1</t>
  </si>
  <si>
    <t>Continu</t>
  </si>
  <si>
    <t>OKR 2026 — Objectifs &amp; Key Results</t>
  </si>
  <si>
    <t>Obj #</t>
  </si>
  <si>
    <t>Objectif</t>
  </si>
  <si>
    <t>KR #</t>
  </si>
  <si>
    <t>Key Result</t>
  </si>
  <si>
    <t>Thème(s)</t>
  </si>
  <si>
    <t>Target</t>
  </si>
  <si>
    <t>O1</t>
  </si>
  <si>
    <t>Faire de NEOPRO le partenaire de référence des clubs amateurs en Bretagne/Pays de Loire</t>
  </si>
  <si>
    <t>1.1</t>
  </si>
  <si>
    <t>3 clubs beta convertis en payants</t>
  </si>
  <si>
    <t>Q2 2026</t>
  </si>
  <si>
    <t>1.2</t>
  </si>
  <si>
    <t>15 clubs payants actifs</t>
  </si>
  <si>
    <t>Déc 2026</t>
  </si>
  <si>
    <t>1.3</t>
  </si>
  <si>
    <t>Taux de renouvellement &gt;85%</t>
  </si>
  <si>
    <t>1.4</t>
  </si>
  <si>
    <t>NPS clubs ≥8/10</t>
  </si>
  <si>
    <t>TS-2, TS-3</t>
  </si>
  <si>
    <t>Q4 2026</t>
  </si>
  <si>
    <t>1.5</t>
  </si>
  <si>
    <t>2 partenariats ligues régionales signés</t>
  </si>
  <si>
    <t>Q3 2026</t>
  </si>
  <si>
    <t>1.6</t>
  </si>
  <si>
    <t>3 cas ROI sponsors documentés</t>
  </si>
  <si>
    <t>1.7</t>
  </si>
  <si>
    <t>6 annonceurs régionaux actifs</t>
  </si>
  <si>
    <t>1.8</t>
  </si>
  <si>
    <t>O2</t>
  </si>
  <si>
    <t>Créer une expérience match que les clubs ne peuvent plus quitter</t>
  </si>
  <si>
    <t>2.1</t>
  </si>
  <si>
    <t>Taux d'utilisation 100% des matchs à domicile</t>
  </si>
  <si>
    <t>2.2</t>
  </si>
  <si>
    <t>Latence télécommande &lt;200ms local / &lt;2s cloud</t>
  </si>
  <si>
    <t>Q1 2026</t>
  </si>
  <si>
    <t>6 sports supportés en overlay</t>
  </si>
  <si>
    <t>✅ Done</t>
  </si>
  <si>
    <t>2.4</t>
  </si>
  <si>
    <t>Score CSAT bénévole &gt;4.5/5</t>
  </si>
  <si>
    <t>2.5</t>
  </si>
  <si>
    <t>Taux activation &gt;80% (1er match dans les 7 jours)</t>
  </si>
  <si>
    <t>2.6</t>
  </si>
  <si>
    <t>0 incident bloquant pendant un match</t>
  </si>
  <si>
    <t>TS-2, TS-4</t>
  </si>
  <si>
    <t>2.7</t>
  </si>
  <si>
    <t>Temps d'installation &lt;4h par club</t>
  </si>
  <si>
    <t>O3</t>
  </si>
  <si>
    <t>Bâtir un réseau de clubs qui tire la croissance</t>
  </si>
  <si>
    <t>3.1</t>
  </si>
  <si>
    <t>30% des nouveaux clubs via referral</t>
  </si>
  <si>
    <t>3.2</t>
  </si>
  <si>
    <t>10 témoignages vidéo clubs</t>
  </si>
  <si>
    <t>3.3</t>
  </si>
  <si>
    <t>2 clubs ambassadeurs officiels par région</t>
  </si>
  <si>
    <t>3.4</t>
  </si>
  <si>
    <t>15 prospects qualifiés via réseau</t>
  </si>
  <si>
    <t>3.5</t>
  </si>
  <si>
    <t>Présence dans 2 médias sportifs régionaux</t>
  </si>
  <si>
    <t>3.6</t>
  </si>
  <si>
    <t>1 partenariat tournoi majeur</t>
  </si>
  <si>
    <t>3.7</t>
  </si>
  <si>
    <t>NPS ≥50</t>
  </si>
  <si>
    <t>3.8</t>
  </si>
  <si>
    <t>25 clubs onboardés en Q1-Q2</t>
  </si>
  <si>
    <t>Juin 2026</t>
  </si>
  <si>
    <t>O4</t>
  </si>
  <si>
    <t>Garantir une infrastructure fiable à la hauteur de l'ambition</t>
  </si>
  <si>
    <t>4.1</t>
  </si>
  <si>
    <t>Uptime API 99.5%</t>
  </si>
  <si>
    <t>4.2</t>
  </si>
  <si>
    <t>MTTR incident &lt;2h</t>
  </si>
  <si>
    <t>4.3</t>
  </si>
  <si>
    <t>0 perte de données vidéo/config (checksum SHA-256)</t>
  </si>
  <si>
    <t>4.4</t>
  </si>
  <si>
    <t>OTA success rate &gt;95%</t>
  </si>
  <si>
    <t>4.5</t>
  </si>
  <si>
    <t>Temps de résolution support &lt;24h</t>
  </si>
  <si>
    <t>4.6</t>
  </si>
  <si>
    <t>Monitoring proactif en place (alertes automatiques)</t>
  </si>
  <si>
    <t>4.7</t>
  </si>
  <si>
    <t>O5</t>
  </si>
  <si>
    <t>Construire un produit scalable sans dette technique</t>
  </si>
  <si>
    <t>5.1</t>
  </si>
  <si>
    <t>API partenaires &lt;100ms p95</t>
  </si>
  <si>
    <t>5.2</t>
  </si>
  <si>
    <t>Tests coverage &gt;75% (actuellement ~2387 tests)</t>
  </si>
  <si>
    <t>5.3</t>
  </si>
  <si>
    <t>Pipeline CI &lt;5min</t>
  </si>
  <si>
    <t>5.4</t>
  </si>
  <si>
    <t>0 vulnérabilité critique non patchée sous 48h</t>
  </si>
  <si>
    <t>5.5</t>
  </si>
  <si>
    <t>Documentation technique à jour pour 100% des endpoints</t>
  </si>
  <si>
    <t>5.6</t>
  </si>
  <si>
    <t>Temps d'onboarding dev externe &lt;1 jour</t>
  </si>
  <si>
    <t>5.7</t>
  </si>
  <si>
    <t>Architecture supportant 200 clubs sans refonte</t>
  </si>
  <si>
    <t>5.8</t>
  </si>
  <si>
    <t>Roadmap produit Q3-Q4 2026 définie et priorisée</t>
  </si>
  <si>
    <t>Total: 5 Objectifs, 38 Key Results</t>
  </si>
  <si>
    <t>KPI Actuels (Fév 2026)</t>
  </si>
  <si>
    <t>KPI</t>
  </si>
  <si>
    <t>Valeur actuelle</t>
  </si>
  <si>
    <t>Statut</t>
  </si>
  <si>
    <t>Source</t>
  </si>
  <si>
    <t>Clubs actifs (Pi connectés)</t>
  </si>
  <si>
    <t>🟡 En cours</t>
  </si>
  <si>
    <t>Dashboard fleet</t>
  </si>
  <si>
    <t>Annonceurs actifs</t>
  </si>
  <si>
    <t>🟡 Early stage</t>
  </si>
  <si>
    <t>DB advertisers</t>
  </si>
  <si>
    <t>Tests totaux</t>
  </si>
  <si>
    <t>2 387</t>
  </si>
  <si>
    <t>2 500</t>
  </si>
  <si>
    <t>🟢 On track</t>
  </si>
  <si>
    <t>npm run test:*</t>
  </si>
  <si>
    <t>Uptime API</t>
  </si>
  <si>
    <t>99.2%</t>
  </si>
  <si>
    <t>99.5%</t>
  </si>
  <si>
    <t>🟡 Proche</t>
  </si>
  <si>
    <t>Grafana</t>
  </si>
  <si>
    <t>Versions livrées</t>
  </si>
  <si>
    <t>30+ (v3.47→v3.60)</t>
  </si>
  <si>
    <t>🟢 Actif</t>
  </si>
  <si>
    <t>Git tags</t>
  </si>
  <si>
    <t>Features implémentées (Impl. Backlog)</t>
  </si>
  <si>
    <t>-</t>
  </si>
  <si>
    <t>🟢 Complet</t>
  </si>
  <si>
    <t>IMPLEMENTED-BACKLOG</t>
  </si>
  <si>
    <t>NEOPRO — Value Streams &amp; Flux de Valeur</t>
  </si>
  <si>
    <t>Outcome Value Streams (OVS)</t>
  </si>
  <si>
    <t>Trigger</t>
  </si>
  <si>
    <t>Value Delivered</t>
  </si>
  <si>
    <t>Key Steps</t>
  </si>
  <si>
    <t>Lead Time</t>
  </si>
  <si>
    <t>Bottleneck</t>
  </si>
  <si>
    <t>Club to Screen</t>
  </si>
  <si>
    <t>Club signe contrat</t>
  </si>
  <si>
    <t>Vidéos diffusées sur TV dans le gymnase</t>
  </si>
  <si>
    <t>Onboarding → Config → Upload → Deploy → Diffusion</t>
  </si>
  <si>
    <t>&lt; 1 jour (target)</t>
  </si>
  <si>
    <t>Installation physique Pi</t>
  </si>
  <si>
    <t>Sponsor to Impression</t>
  </si>
  <si>
    <t>Annonceur signe contrat</t>
  </si>
  <si>
    <t>Impressions pub mesurées et certifiées</t>
  </si>
  <si>
    <t>Signup → Upload pub → Association sites → Diffusion → Report</t>
  </si>
  <si>
    <t>&lt; 2 jours</t>
  </si>
  <si>
    <t>Association manuelle site-sponsor</t>
  </si>
  <si>
    <t>OVS-1 — Club to Screen (détail)</t>
  </si>
  <si>
    <t>#</t>
  </si>
  <si>
    <t>Step</t>
  </si>
  <si>
    <t>Outil</t>
  </si>
  <si>
    <t>Owner</t>
  </si>
  <si>
    <t>Durée</t>
  </si>
  <si>
    <t>Input</t>
  </si>
  <si>
    <t>Output</t>
  </si>
  <si>
    <t>Vente &amp; signature</t>
  </si>
  <si>
    <t>CRM (externe)</t>
  </si>
  <si>
    <t>Commercial</t>
  </si>
  <si>
    <t>1-2 semaines</t>
  </si>
  <si>
    <t>Lead club</t>
  </si>
  <si>
    <t>Contrat signé + abonnement</t>
  </si>
  <si>
    <t>Installation Pi dans le club</t>
  </si>
  <si>
    <t>Toolbox Déploiement</t>
  </si>
  <si>
    <t>Technicien</t>
  </si>
  <si>
    <t>1-2 heures</t>
  </si>
  <si>
    <t>Pi + TV + SD card</t>
  </si>
  <si>
    <t>Pi connecté au Dashboard</t>
  </si>
  <si>
    <t>Configuration club</t>
  </si>
  <si>
    <t>Dashboard Admin</t>
  </si>
  <si>
    <t>Opérateur</t>
  </si>
  <si>
    <t>15 min</t>
  </si>
  <si>
    <t>Logo, catégories, sponsors</t>
  </si>
  <si>
    <t>Config déployée sur Pi</t>
  </si>
  <si>
    <t>Upload vidéos contenu</t>
  </si>
  <si>
    <t>10 min</t>
  </si>
  <si>
    <t>Fichiers vidéo</t>
  </si>
  <si>
    <t>Vidéos sur FTP + checksum</t>
  </si>
  <si>
    <t>Déploiement vers Pi</t>
  </si>
  <si>
    <t>Central Server → Sync Agent</t>
  </si>
  <si>
    <t>Automatisé</t>
  </si>
  <si>
    <t>2-5 min</t>
  </si>
  <si>
    <t>Commande deploy</t>
  </si>
  <si>
    <t>Vidéos sur disque Pi</t>
  </si>
  <si>
    <t>Diffusion sur TV</t>
  </si>
  <si>
    <t>TV Player</t>
  </si>
  <si>
    <t>Immédiat</t>
  </si>
  <si>
    <t>Config + vidéos</t>
  </si>
  <si>
    <t>Boucle vidéo diffusée</t>
  </si>
  <si>
    <t>Match day (bénévole)</t>
  </si>
  <si>
    <t>Télécommande</t>
  </si>
  <si>
    <t>Staff club</t>
  </si>
  <si>
    <t>Durée match</t>
  </si>
  <si>
    <t>QR code / URL</t>
  </si>
  <si>
    <t>Score live + phases + recording</t>
  </si>
  <si>
    <t>Analytics &amp; rapports</t>
  </si>
  <si>
    <t>Dashboard + PDF</t>
  </si>
  <si>
    <t>Quotidien</t>
  </si>
  <si>
    <t>Impressions brutes</t>
  </si>
  <si>
    <t>Stats club + sponsor</t>
  </si>
  <si>
    <t>OVS-2 — Sponsor to Impression (détail)</t>
  </si>
  <si>
    <t>Inscription annonceur</t>
  </si>
  <si>
    <t>Portail Annonceur / Magic Link</t>
  </si>
  <si>
    <t>Annonceur</t>
  </si>
  <si>
    <t>5 min</t>
  </si>
  <si>
    <t>Email + vidéo pub</t>
  </si>
  <si>
    <t>Compte créé + vidéo uploadée</t>
  </si>
  <si>
    <t>Association site-sponsor</t>
  </si>
  <si>
    <t>2 min</t>
  </si>
  <si>
    <t>Sponsor + sites cibles</t>
  </si>
  <si>
    <t>Mapping sponsor→sites</t>
  </si>
  <si>
    <t>Sync sponsors vers Pi</t>
  </si>
  <si>
    <t>Config updated</t>
  </si>
  <si>
    <t>Sponsors sur disque Pi</t>
  </si>
  <si>
    <t>Diffusion pub sur TV</t>
  </si>
  <si>
    <t>Boucle vidéo avec pubs</t>
  </si>
  <si>
    <t>Impressions trackées</t>
  </si>
  <si>
    <t>Tracking impressions</t>
  </si>
  <si>
    <t>TV Player → Sync Agent → API</t>
  </si>
  <si>
    <t>Batch quotidien</t>
  </si>
  <si>
    <t>Buffer local Pi</t>
  </si>
  <si>
    <t>Impressions en DB</t>
  </si>
  <si>
    <t>Proof of broadcast</t>
  </si>
  <si>
    <t>Central Server</t>
  </si>
  <si>
    <t>Temps réel</t>
  </si>
  <si>
    <t>Screenshot + timestamp</t>
  </si>
  <si>
    <t>Preuve certifiée SHA-256</t>
  </si>
  <si>
    <t>Rapport annonceur</t>
  </si>
  <si>
    <t>Portail Annonceur / PDF</t>
  </si>
  <si>
    <t>Self-service</t>
  </si>
  <si>
    <t>Stats agrégées</t>
  </si>
  <si>
    <t>PDF/Excel export</t>
  </si>
  <si>
    <t>DVS-1 — Neopro Platform (Development Value Stream)</t>
  </si>
  <si>
    <t>Outils</t>
  </si>
  <si>
    <t>Métriques</t>
  </si>
  <si>
    <t>Cadence</t>
  </si>
  <si>
    <t>Product Discovery &amp; Backlog</t>
  </si>
  <si>
    <t>PO (Gwenvael)</t>
  </si>
  <si>
    <t>SAFe Framework, Notion</t>
  </si>
  <si>
    <t>WSJF score, backlog depth</t>
  </si>
  <si>
    <t>Architecture &amp; Design</t>
  </si>
  <si>
    <t>Tech Lead</t>
  </si>
  <si>
    <t>ADR, TypeScript strict</t>
  </si>
  <si>
    <t>Design reviews passés</t>
  </si>
  <si>
    <t>Par feature</t>
  </si>
  <si>
    <t>Development (Sprint)</t>
  </si>
  <si>
    <t>Engineering</t>
  </si>
  <si>
    <t>Git, ESLint, Repository Pattern</t>
  </si>
  <si>
    <t>Vélocité SP/sprint, WIP</t>
  </si>
  <si>
    <t>Sprint 2 semaines</t>
  </si>
  <si>
    <t>Testing &amp; QA</t>
  </si>
  <si>
    <t>Jest, Karma, Playwright, Smoke</t>
  </si>
  <si>
    <t>2 387 tests, coverage</t>
  </si>
  <si>
    <t>CI automatique</t>
  </si>
  <si>
    <t>Release &amp; OTA</t>
  </si>
  <si>
    <t>DevOps</t>
  </si>
  <si>
    <t>Git tags, Railway, FTP, Canary</t>
  </si>
  <si>
    <t>OTA success rate, rollback</t>
  </si>
  <si>
    <t>~2 releases/semaine</t>
  </si>
  <si>
    <t>Monitoring &amp; Feedback</t>
  </si>
  <si>
    <t>Support</t>
  </si>
  <si>
    <t>Grafana, Prometheus, Slack</t>
  </si>
  <si>
    <t>Uptime, MTTR, NPS</t>
  </si>
  <si>
    <t>Cartographie 12 Outils Neopro</t>
  </si>
  <si>
    <t>Type</t>
  </si>
  <si>
    <t>Public</t>
  </si>
  <si>
    <t>Protocole</t>
  </si>
  <si>
    <t>VS lié</t>
  </si>
  <si>
    <t>Features clés</t>
  </si>
  <si>
    <t>Produit cloud</t>
  </si>
  <si>
    <t>Admin, Opérateurs</t>
  </si>
  <si>
    <t>HTTP + WebSocket</t>
  </si>
  <si>
    <t>OVS-1, OVS-2</t>
  </si>
  <si>
    <t>Fleet mgmt, deploy, analytics, alerting, OTA</t>
  </si>
  <si>
    <t>Portail Annonceur</t>
  </si>
  <si>
    <t>Annonceurs</t>
  </si>
  <si>
    <t>HTTP + JWT</t>
  </si>
  <si>
    <t>Upload pub, stats impressions, export PDF</t>
  </si>
  <si>
    <t>Portail Agence</t>
  </si>
  <si>
    <t>Agences pub</t>
  </si>
  <si>
    <t>Multi-annonceurs, stats agrégées</t>
  </si>
  <si>
    <t>Produit cloud+edge</t>
  </si>
  <si>
    <t>Socket.IO</t>
  </si>
  <si>
    <t>Score, phases, timer, recording, vidéos</t>
  </si>
  <si>
    <t>Produit edge</t>
  </si>
  <si>
    <t>Spectateurs</t>
  </si>
  <si>
    <t>Socket.IO local</t>
  </si>
  <si>
    <t>Double-buffer, overlay 6 sports, watermark</t>
  </si>
  <si>
    <t>Admin Panel Pi</t>
  </si>
  <si>
    <t>Staff + Tech</t>
  </si>
  <si>
    <t>HTTP local</t>
  </si>
  <si>
    <t>Club/Tech mode, upload local, debug</t>
  </si>
  <si>
    <t>Central Server API</t>
  </si>
  <si>
    <t>Infra cloud</t>
  </si>
  <si>
    <t>Machines</t>
  </si>
  <si>
    <t>REST + WebSocket</t>
  </si>
  <si>
    <t>21 repos, 9 handlers, rate limiting</t>
  </si>
  <si>
    <t>Sync Agent</t>
  </si>
  <si>
    <t>Infra edge</t>
  </si>
  <si>
    <t>Système</t>
  </si>
  <si>
    <t>Config sync, video download, analytics batch</t>
  </si>
  <si>
    <t>Pi Server Socket.IO</t>
  </si>
  <si>
    <t>Télécommande, TV</t>
  </si>
  <si>
    <t>18 événements relay, score, phases</t>
  </si>
  <si>
    <t>Watchdogs (4)</t>
  </si>
  <si>
    <t>Bash + systemd</t>
  </si>
  <si>
    <t>Kiosk, sync-agent, network, hotspot</t>
  </si>
  <si>
    <t>Monitoring</t>
  </si>
  <si>
    <t>Ops</t>
  </si>
  <si>
    <t>Prometheus + Grafana</t>
  </si>
  <si>
    <t>30+ métriques, 18 seuils, 3 dashboards</t>
  </si>
  <si>
    <t>Techniciens</t>
  </si>
  <si>
    <t>Bash + SSH</t>
  </si>
  <si>
    <t>Golden image, setup, diagnostic, backup</t>
  </si>
  <si>
    <t>Epic ID</t>
  </si>
  <si>
    <t>Name</t>
  </si>
  <si>
    <t>VS</t>
  </si>
  <si>
    <t>Theme</t>
  </si>
  <si>
    <t>Cost (SP)</t>
  </si>
  <si>
    <t>Benefit (€)</t>
  </si>
  <si>
    <t>Business Value</t>
  </si>
  <si>
    <t>Time Criticality</t>
  </si>
  <si>
    <t>Job Size</t>
  </si>
  <si>
    <t>E-03</t>
  </si>
  <si>
    <t>Analytics Sponsors Avancé</t>
  </si>
  <si>
    <t>VS2 - Sponsor to Impression</t>
  </si>
  <si>
    <t>TS1 - Monétisation</t>
  </si>
  <si>
    <t>20-40K€/an</t>
  </si>
  <si>
    <t>E-01</t>
  </si>
  <si>
    <t>Portail Sponsor Self-Service</t>
  </si>
  <si>
    <t>50-100K€/an</t>
  </si>
  <si>
    <t>E-08</t>
  </si>
  <si>
    <t>Alertes Prédictives</t>
  </si>
  <si>
    <t>Transverse</t>
  </si>
  <si>
    <t>TS4 - Excellence Ops</t>
  </si>
  <si>
    <t>-50% MTTR</t>
  </si>
  <si>
    <t>E-07</t>
  </si>
  <si>
    <t>Résilience WiFi V2</t>
  </si>
  <si>
    <t>VS1 - Club to Screen</t>
  </si>
  <si>
    <t>TS3 - Acquisition</t>
  </si>
  <si>
    <t>-70% incidents WiFi</t>
  </si>
  <si>
    <t>E-10</t>
  </si>
  <si>
    <t>Monitoring Fleet</t>
  </si>
  <si>
    <t>-60% incidents ND</t>
  </si>
  <si>
    <t>E-02</t>
  </si>
  <si>
    <t>Rotation Sponsors</t>
  </si>
  <si>
    <t>30-60K€/an</t>
  </si>
  <si>
    <t>E-04</t>
  </si>
  <si>
    <t>Profils Config Match</t>
  </si>
  <si>
    <t>TS2 - Expérience Match</t>
  </si>
  <si>
    <t>Rétention +15%</t>
  </si>
  <si>
    <t>E-06</t>
  </si>
  <si>
    <t>Onboarding Automatisé</t>
  </si>
  <si>
    <t>-30% coût install.</t>
  </si>
  <si>
    <t>E-09</t>
  </si>
  <si>
    <t>Architecture Audit</t>
  </si>
  <si>
    <t>-40% dette tech</t>
  </si>
  <si>
    <t>E-15</t>
  </si>
  <si>
    <t>Score en Live Phase 2 (API Fédérations)</t>
  </si>
  <si>
    <t>Engagement +25%</t>
  </si>
  <si>
    <t>E-05</t>
  </si>
  <si>
    <t>Motion Design Personnalisé</t>
  </si>
  <si>
    <t>15-30K€/an</t>
  </si>
  <si>
    <t>E-17</t>
  </si>
  <si>
    <t>A/B Testing Créas Sponsors</t>
  </si>
  <si>
    <t>+15% conversion ads</t>
  </si>
  <si>
    <t>E-11</t>
  </si>
  <si>
    <t>Régie Publicitaire Régionale</t>
  </si>
  <si>
    <t>100-200K€/an</t>
  </si>
  <si>
    <t>E-16</t>
  </si>
  <si>
    <t>Rapports Email Automatiques</t>
  </si>
  <si>
    <t>-80% temps rapports</t>
  </si>
  <si>
    <t>E-18</t>
  </si>
  <si>
    <t>Intégrations Billetterie</t>
  </si>
  <si>
    <t>Revenue +10K€</t>
  </si>
  <si>
    <t>E-20</t>
  </si>
  <si>
    <t>Analytics Prédictives ML</t>
  </si>
  <si>
    <t>Churn -20%</t>
  </si>
  <si>
    <t>E-21</t>
  </si>
  <si>
    <t>API Partenaires OAuth</t>
  </si>
  <si>
    <t>5+ partenaires</t>
  </si>
  <si>
    <t>E-13</t>
  </si>
  <si>
    <t>Marque Blanche Club</t>
  </si>
  <si>
    <t>Upsell +20%</t>
  </si>
  <si>
    <t>E-14</t>
  </si>
  <si>
    <t>Fonds de Solidarité Sport</t>
  </si>
  <si>
    <t>Image + 10 clubs</t>
  </si>
  <si>
    <t>E-12</t>
  </si>
  <si>
    <t>Multi-Écrans Synchronisés</t>
  </si>
  <si>
    <t>Upsell +30%</t>
  </si>
  <si>
    <t>E-19</t>
  </si>
  <si>
    <t>Capteurs Présence Hardware</t>
  </si>
  <si>
    <t>Analytics premium</t>
  </si>
  <si>
    <t>LEAN BUSINESS CASES — 21 Epics</t>
  </si>
  <si>
    <t>Problème</t>
  </si>
  <si>
    <t>Solution</t>
  </si>
  <si>
    <t>Coût (SP)</t>
  </si>
  <si>
    <t>Bénéfice</t>
  </si>
  <si>
    <t>KPIs avancés</t>
  </si>
  <si>
    <t>Go/No-Go</t>
  </si>
  <si>
    <t>Onboarding sponsor manuel (1-2 sem). Ne scale pas &gt;10 sponsors.</t>
  </si>
  <si>
    <t>Portail self-service : compte, upload vidéo, sélection gymnases, validation admin.</t>
  </si>
  <si>
    <t>Lead time 1-2 sem → &lt;1 jour; support -60%</t>
  </si>
  <si>
    <t>Inscriptions self-service, taux complétion formulaire</t>
  </si>
  <si>
    <t>Go si ≥3 sponsors identifiés avant fin S1</t>
  </si>
  <si>
    <t>Spots en boucle fixe. Aucune équité de rotation. Pas de preuve de diffusion.</t>
  </si>
  <si>
    <t>Algorithme rotation auto avec minimum garanti par match, pondération formule.</t>
  </si>
  <si>
    <t>Taux renouvellement 40%→60%; argument commercial</t>
  </si>
  <si>
    <t>Passages/match/sponsor</t>
  </si>
  <si>
    <t>Go (dépendance bloquante E-03)</t>
  </si>
  <si>
    <t>Aucun rapport de diffusion. Impossible prouver ROI. Frein acquisition sponsors.</t>
  </si>
  <si>
    <t>Dashboard analytics : impressions temps réel, heatmap, tendances, export PDF/CSV.</t>
  </si>
  <si>
    <t>Renouvellement 60%→85%; reporting auto -100% manuel</t>
  </si>
  <si>
    <t>Consultation dashboard, rapports générés</t>
  </si>
  <si>
    <t>Go (WSJF max, critique VS2)</t>
  </si>
  <si>
    <t>Config identique avant/pendant/après match. Changement manuel à chaque phase.</t>
  </si>
  <si>
    <t>Profils prédéfinis (Avant/Match/Mi-Temps/Après) avec transitions auto/manuelles.</t>
  </si>
  <si>
    <t>NPS +10 pts; charge opérateur -80%/match</t>
  </si>
  <si>
    <t>Profils créés/club, taux utilisation transitions auto</t>
  </si>
  <si>
    <t>Go si ≥2 clubs demandent</t>
  </si>
  <si>
    <t>Config SSH manuelle (2-3 jours/club). Bottleneck N°1 VS1. Ne scale pas &gt;15 clubs.</t>
  </si>
  <si>
    <t>Wizard zero-touch : QR code → auto-registration → config → opérationnel en 30 min.</t>
  </si>
  <si>
    <t>Lead time 2-3j → 30 min; capacité 1→5 clubs/sem</t>
  </si>
  <si>
    <t>Taux succès wizard, temps moyen onboarding</t>
  </si>
  <si>
    <t>Go (bottleneck critique, WSJF max)</t>
  </si>
  <si>
    <t>PI-1 (reliquat)</t>
  </si>
  <si>
    <t>WiFi instable en gymnase. Déconnexions, fausses alertes. Source N°1 tickets support.</t>
  </si>
  <si>
    <t>Cache 48h, reconnexion agressive, monitoring signal, support clé USB WiFi externe.</t>
  </si>
  <si>
    <t>Tickets WiFi -70%; uptime 95%→99%</t>
  </si>
  <si>
    <t>Taux reconnexion auto, durée déconnexion</t>
  </si>
  <si>
    <t>Go (dépendance E-06)</t>
  </si>
  <si>
    <t>PI-1 (Done)</t>
  </si>
  <si>
    <t>Alertes réactives uniquement. Aucune anticipation des pannes.</t>
  </si>
  <si>
    <t>Alertes prédictives : dégradation WiFi, espace disque, temp CPU, latence sync.</t>
  </si>
  <si>
    <t>60% pannes anticipées; MTTR 24h→2h</t>
  </si>
  <si>
    <t>Taux détection préventive, alertes déclenchées</t>
  </si>
  <si>
    <t>Go (améliore fiabilité perçue)</t>
  </si>
  <si>
    <t>Controllers accèdent directement DB. Dette technique freinant le dev.</t>
  </si>
  <si>
    <t>Migration repository pattern, règles ESLint bloquantes, couverture tests +5%.</t>
  </si>
  <si>
    <t>100% controllers migrés; dev time -20%</t>
  </si>
  <si>
    <t>Controllers migrés, warnings ESLint restants</t>
  </si>
  <si>
    <t>Go (enabler technique, faible risque)</t>
  </si>
  <si>
    <t>Monitoring basique. Pas de vue globale flotte. Ingérable &gt;15 clubs.</t>
  </si>
  <si>
    <t>Dashboard flotte : carte Leaflet, statuts temps réel, métriques agrégées, tendances 30j.</t>
  </si>
  <si>
    <t>Diagnostic 30min→5min; scalabilité 15→50+ clubs</t>
  </si>
  <si>
    <t>Taux adoption dashboard, fréquence consultation</t>
  </si>
  <si>
    <t>Go (indispensable scaling PI-2/PI-3)</t>
  </si>
  <si>
    <t>Animations statiques et identiques. Pas de personnalisation visuelle pour clubs Premium.</t>
  </si>
  <si>
    <t>Bibliothèque templates motion design personnalisables + upload animations custom Lottie/MP4.</t>
  </si>
  <si>
    <t>Upsell +500€/an clubs Premium; différenciation</t>
  </si>
  <si>
    <t>Templates créés, taux adoption Premium</t>
  </si>
  <si>
    <t>Go si ≥5 clubs actifs fin PI-1</t>
  </si>
  <si>
    <t>Seuls sponsors locaux peuvent diffuser. Pas de revenus passifs NEOPRO.</t>
  </si>
  <si>
    <t>Marketplace pubs : packs gymnases, ciblage géo, scheduling auto, reporting. Split 90/10.</t>
  </si>
  <si>
    <t>Nouveau ARR régie; revenus passifs clubs</t>
  </si>
  <si>
    <t>Annonceurs inscrits, taux remplissage créneaux</t>
  </si>
  <si>
    <t>Go si ≥15 clubs actifs et E-01/02/03 terminés</t>
  </si>
  <si>
    <t>Score Live Phase 2 (API Fédérations)</t>
  </si>
  <si>
    <t>Score live nécessite saisie manuelle. Charge cognitive opérateur, risque erreur.</t>
  </si>
  <si>
    <t>Intégration API fédérations (FFHB, FFVB, FFBB) polling 30s + fallback manuel.</t>
  </si>
  <si>
    <t>Saisie manuelle -100%; score plus fiable</t>
  </si>
  <si>
    <t>Matchs avec score auto, latence mise à jour</t>
  </si>
  <si>
    <t>Go si API FFHB accessible et ≥5 clubs handball</t>
  </si>
  <si>
    <t>Rapports PDF existent mais doivent être téléchargés manuellement. Consultation 30%.</t>
  </si>
  <si>
    <t>Envoi auto rapport PDF mensuel par email. Liste diffusion configurable opt-in/opt-out.</t>
  </si>
  <si>
    <t>Consultation 30%→80%; réduction churn</t>
  </si>
  <si>
    <t>Taux ouverture email, taux clics rapport</t>
  </si>
  <si>
    <t>Go (faible risque, fort impact)</t>
  </si>
  <si>
    <t>Un seul spot sans mesure d'efficacité. Décisions au feeling.</t>
  </si>
  <si>
    <t>Campagnes A/B : 2-3 variantes, allocation trafic, détermination statistique (χ²).</t>
  </si>
  <si>
    <t>Upsell +600€/an/sponsor; complétion +10-15%</t>
  </si>
  <si>
    <t>Campagnes A/B créées, variantes testées</t>
  </si>
  <si>
    <t>Go si ≥5 sponsors actifs et E-02 livré</t>
  </si>
  <si>
    <t>Un seul écran par club. Gymnases multi-salles veulent 2-4 écrans synchronisés.</t>
  </si>
  <si>
    <t>Multi-Pi par site : master orchestre slaves via WebSocket local.</t>
  </si>
  <si>
    <t>Upsell +600€/an/écran; pénétration semi-pro</t>
  </si>
  <si>
    <t>Clubs multi-écrans, latence synchronisation</t>
  </si>
  <si>
    <t>Go si ≥3 clubs demandent multi-écrans</t>
  </si>
  <si>
    <t>Interface affiche branding NEOPRO. Clubs Premium veulent leurs couleurs/logo.</t>
  </si>
  <si>
    <t>Thématisation par club : logo, couleurs, police, écran accueil. 'Powered by NEOPRO' optionnel.</t>
  </si>
  <si>
    <t>Argument Premium; NPS Premium +10 pts</t>
  </si>
  <si>
    <t>Taux activation marque blanche, thèmes créés</t>
  </si>
  <si>
    <t>Go si ≥5 clubs Premium actifs</t>
  </si>
  <si>
    <t>Sport amateur manque de financement. Clubs modestes ne peuvent pas payer NEOPRO.</t>
  </si>
  <si>
    <t>Fonds alimenté par 1-2% revenus régie. Clubs éligibles reçoivent abonnement subventionné.</t>
  </si>
  <si>
    <t>Impact RSE; couverture presse → acquisition</t>
  </si>
  <si>
    <t>Montant fonds, candidatures reçues</t>
  </si>
  <si>
    <t>Go si ARR régie &gt;50K€</t>
  </si>
  <si>
    <t>Estimation audience manuelle et approximative. Sponsors veulent chiffres fiables.</t>
  </si>
  <si>
    <t>Intégration APIs billetterie (Weezevent, Eventbrite) → audience réelle dans analytics.</t>
  </si>
  <si>
    <t>Données audience fiables; pipeline analytics auto</t>
  </si>
  <si>
    <t>Clubs connectés billetterie</t>
  </si>
  <si>
    <t>Go si ≥3 clubs utilisent Weezevent</t>
  </si>
  <si>
    <t>Clubs sans billetterie n'ont aucun moyen de compter spectateurs.</t>
  </si>
  <si>
    <t>Capteur infrarouge/caméra connecté au Pi. Comptage auto avec calibration initiale.</t>
  </si>
  <si>
    <t>Audience 100% auto sans billetterie; upsell hardware</t>
  </si>
  <si>
    <t>Capteurs installés, précision comptage</t>
  </si>
  <si>
    <t>Go si ≥20 clubs actifs et ROI capteur validé</t>
  </si>
  <si>
    <t>Pas de prédiction engagement club ni recommandations automatiques.</t>
  </si>
  <si>
    <t>ML time-series : engagement futur, anomalies, recommandations actionables.</t>
  </si>
  <si>
    <t>Churn proactif réduit; engagement +20%</t>
  </si>
  <si>
    <t>Précision modèle, recommandations générées</t>
  </si>
  <si>
    <t>Go si ≥15 clubs avec 6 mois historique</t>
  </si>
  <si>
    <t>Partenaires n'ont pas d'accès programmatique. Tout via dashboard/exports manuels.</t>
  </si>
  <si>
    <t>API REST OAuth 2.0 avec scopes, rate limiting, portail développeurs.</t>
  </si>
  <si>
    <t>Nouveau ARR API; écosystème partenaires</t>
  </si>
  <si>
    <t>Clients API, requêtes/jour</t>
  </si>
  <si>
    <t>Go si ≥3 partenaires demandent accès API</t>
  </si>
  <si>
    <t>RÉSUMÉ</t>
  </si>
  <si>
    <t>FEATURE BACKLOG</t>
  </si>
  <si>
    <t>Feature ID</t>
  </si>
  <si>
    <t>US Count</t>
  </si>
  <si>
    <t>SP</t>
  </si>
  <si>
    <t>Priority</t>
  </si>
  <si>
    <t>Notes</t>
  </si>
  <si>
    <t>F-01.1</t>
  </si>
  <si>
    <t>Inscription et profil sponsor</t>
  </si>
  <si>
    <t>PI-1 (Fév-Mar 2026)</t>
  </si>
  <si>
    <t>F-01.2</t>
  </si>
  <si>
    <t>Upload vidéo sponsor</t>
  </si>
  <si>
    <t>F-01.3</t>
  </si>
  <si>
    <t>Validation admin des spots</t>
  </si>
  <si>
    <t>F-02.1</t>
  </si>
  <si>
    <t>Algorithme de rotation équitable</t>
  </si>
  <si>
    <t>F-03.1</t>
  </si>
  <si>
    <t>Dashboard impressions sponsor</t>
  </si>
  <si>
    <t>F-03.2</t>
  </si>
  <si>
    <t>Export rapport PDF/CSV</t>
  </si>
  <si>
    <t>F-04.1</t>
  </si>
  <si>
    <t>Création de profils prédéfinis</t>
  </si>
  <si>
    <t>F-04.2</t>
  </si>
  <si>
    <t>Switch depuis la télécommande</t>
  </si>
  <si>
    <t>F-05.1</t>
  </si>
  <si>
    <t>Bibliothèque de templates motion design</t>
  </si>
  <si>
    <t>PI-2 (Avr-Mai 2026)</t>
  </si>
  <si>
    <t>F-06.1</t>
  </si>
  <si>
    <t>Auto-provisioning Pi</t>
  </si>
  <si>
    <t>F-06.2</t>
  </si>
  <si>
    <t>Wizard de configuration club</t>
  </si>
  <si>
    <t>F-07.1</t>
  </si>
  <si>
    <t>Cache local étendu (48h)</t>
  </si>
  <si>
    <t>F-07.2</t>
  </si>
  <si>
    <t>Monitoring signal WiFi</t>
  </si>
  <si>
    <t>F-08.1</t>
  </si>
  <si>
    <t>Règles d'alertes prédictives</t>
  </si>
  <si>
    <t>F-08.2</t>
  </si>
  <si>
    <t>Dashboard tendances</t>
  </si>
  <si>
    <t>F-09.1</t>
  </si>
  <si>
    <t>Migration controllers vers repository pattern</t>
  </si>
  <si>
    <t>F-09.2</t>
  </si>
  <si>
    <t>Audit sécurité et performance</t>
  </si>
  <si>
    <t>F-10.1</t>
  </si>
  <si>
    <t>Carte de la flotte (Leaflet)</t>
  </si>
  <si>
    <t>F-10.2</t>
  </si>
  <si>
    <t>Métriques agrégées flotte</t>
  </si>
  <si>
    <t>F-11.1</t>
  </si>
  <si>
    <t>Portail annonceur régional</t>
  </si>
  <si>
    <t>F-11.2</t>
  </si>
  <si>
    <t>Reporting consolidé régie</t>
  </si>
  <si>
    <t>F-12.1</t>
  </si>
  <si>
    <t>Synchronisation master/slave</t>
  </si>
  <si>
    <t>PI-3 (Juin-Juil 2026)</t>
  </si>
  <si>
    <t>F-13.1</t>
  </si>
  <si>
    <t>Thématisation par club</t>
  </si>
  <si>
    <t>F-16.1</t>
  </si>
  <si>
    <t>Envoi automatique mensuel</t>
  </si>
  <si>
    <t>F-02.2</t>
  </si>
  <si>
    <t>Configuration rotation par gymnase</t>
  </si>
  <si>
    <t>F-03.3</t>
  </si>
  <si>
    <t>Heatmap de diffusion</t>
  </si>
  <si>
    <t>F-05.2</t>
  </si>
  <si>
    <t>Upload d'animations custom (Lottie/MP4)</t>
  </si>
  <si>
    <t>F-07.3</t>
  </si>
  <si>
    <t>Support clé USB WiFi externe</t>
  </si>
  <si>
    <t>F-14.1</t>
  </si>
  <si>
    <t>Gestion du fonds</t>
  </si>
  <si>
    <t>F-15.1</t>
  </si>
  <si>
    <t>Intégration API fédérations sportives</t>
  </si>
  <si>
    <t>F-17.1</t>
  </si>
  <si>
    <t>Campagnes A/B Test</t>
  </si>
  <si>
    <t>F-18.1</t>
  </si>
  <si>
    <t>Audience réelle via billetterie</t>
  </si>
  <si>
    <t>F-19.1</t>
  </si>
  <si>
    <t>Comptage spectateurs automatique</t>
  </si>
  <si>
    <t>F-20.1</t>
  </si>
  <si>
    <t>Prédictions engagement et uptime</t>
  </si>
  <si>
    <t>F-21.1</t>
  </si>
  <si>
    <t>API OAuth 2.0 pour partenaires</t>
  </si>
  <si>
    <t>SUMMARY</t>
  </si>
  <si>
    <t>PI Objectives — Scoring Business Value</t>
  </si>
  <si>
    <t>SAFe Essential — BV scoring 1-10 par Business Owners | Prédictibilité cible &gt; 80%</t>
  </si>
  <si>
    <t>Epics Done — BV acquise avant PI-1</t>
  </si>
  <si>
    <t>BV acquise</t>
  </si>
  <si>
    <t>Preuve</t>
  </si>
  <si>
    <t>D1</t>
  </si>
  <si>
    <t>config-profiles.controller.ts</t>
  </si>
  <si>
    <t>D2</t>
  </si>
  <si>
    <t>predictive-alerts.service.ts</t>
  </si>
  <si>
    <t>D3</t>
  </si>
  <si>
    <t>24 repositories, ESLint</t>
  </si>
  <si>
    <t>D4</t>
  </si>
  <si>
    <t>Résilience WiFi (partiel)</t>
  </si>
  <si>
    <t>⚠️ Partiel</t>
  </si>
  <si>
    <t>Cache 48h + monitoring OK, USB WiFi reste</t>
  </si>
  <si>
    <t>D5</t>
  </si>
  <si>
    <t>Monitoring Fleet (partiel)</t>
  </si>
  <si>
    <t>Métriques OK, carte Leaflet reste</t>
  </si>
  <si>
    <t>Total BV acquise</t>
  </si>
  <si>
    <t>PI-1 Objectives — Engagés (Fév-Mars 2026)</t>
  </si>
  <si>
    <t>Objectif PI</t>
  </si>
  <si>
    <t>BV (Planned)</t>
  </si>
  <si>
    <t>Features liées</t>
  </si>
  <si>
    <t>SP estimés</t>
  </si>
  <si>
    <t>BV Réel</t>
  </si>
  <si>
    <t>Atteint ?</t>
  </si>
  <si>
    <t>Commentaire</t>
  </si>
  <si>
    <t>Lancer le portail sponsor self-service</t>
  </si>
  <si>
    <t>VS2</t>
  </si>
  <si>
    <t>TS1</t>
  </si>
  <si>
    <t>F-01.1, F-01.2, F-01.3</t>
  </si>
  <si>
    <t>Livrer les analytics sponsors avec rapport PDF</t>
  </si>
  <si>
    <t>F-03.1, F-03.2, F-03.3</t>
  </si>
  <si>
    <t>Implémenter la rotation sponsor équitable</t>
  </si>
  <si>
    <t>F-02.1, F-02.2</t>
  </si>
  <si>
    <t>Créer le wizard onboarding club</t>
  </si>
  <si>
    <t>VS1</t>
  </si>
  <si>
    <t>TS3</t>
  </si>
  <si>
    <t>F-06.1, F-06.2</t>
  </si>
  <si>
    <t>Total Engagés</t>
  </si>
  <si>
    <t>PI-1 Objectives — Étendus</t>
  </si>
  <si>
    <t>Carte de la flotte Leaflet</t>
  </si>
  <si>
    <t>TS4</t>
  </si>
  <si>
    <t>Total Étendus</t>
  </si>
  <si>
    <t>Récapitulatif PI-1</t>
  </si>
  <si>
    <t>Catégorie</t>
  </si>
  <si>
    <t>Objectifs</t>
  </si>
  <si>
    <t>BV total</t>
  </si>
  <si>
    <t>Capacité PI</t>
  </si>
  <si>
    <t>Taux charge</t>
  </si>
  <si>
    <t>Engagés</t>
  </si>
  <si>
    <t>~80 SP</t>
  </si>
  <si>
    <t>89%</t>
  </si>
  <si>
    <t>Étendus</t>
  </si>
  <si>
    <t>Total PI-1</t>
  </si>
  <si>
    <t>Calcul de Prédictibilité (à remplir en Inspect &amp; Adapt)</t>
  </si>
  <si>
    <t>BV Planifié</t>
  </si>
  <si>
    <t>1. Portail sponsor</t>
  </si>
  <si>
    <t>2. Analytics sponsors</t>
  </si>
  <si>
    <t>3. Rotation sponsors</t>
  </si>
  <si>
    <t>4. Wizard onboarding</t>
  </si>
  <si>
    <t>5. Carte flotte (étendu)</t>
  </si>
  <si>
    <t>6. USB WiFi (étendu)</t>
  </si>
  <si>
    <t>Prédictibilité Programme = BV Réel / 37 → Cible &gt; 80%</t>
  </si>
  <si>
    <t>PI-2 Objectives (prévisionnel — Avr-Mai 2026)</t>
  </si>
  <si>
    <t>Objectif PI (prévisionnel)</t>
  </si>
  <si>
    <t>BV estimé</t>
  </si>
  <si>
    <t>Lancer la régie publicitaire régionale avec ≥ 1 annonceur signé</t>
  </si>
  <si>
    <t>Livrer 3 templates motion design personnalisables</t>
  </si>
  <si>
    <t>TS2</t>
  </si>
  <si>
    <t>Carry-over PI-1 (objectifs étendus non atteints)</t>
  </si>
  <si>
    <t>Variable</t>
  </si>
  <si>
    <t>PI-3 Objectives (prévisionnel — Juin-Juil 2026)</t>
  </si>
  <si>
    <t>Multi-écrans synchronisés (2 Pi par site)</t>
  </si>
  <si>
    <t>Marque blanche club fonctionnelle</t>
  </si>
  <si>
    <t>Fonds de solidarité sport lancé</t>
  </si>
  <si>
    <t>Sprint Tracker — PI-1 à PI-3</t>
  </si>
  <si>
    <t>SAFe Essential — 3 sprints × 2 semaines par PI | Capacité ~26 SP/sprint</t>
  </si>
  <si>
    <t>PI-1 — Fév-Mars 2026 (79 SP planifiés)</t>
  </si>
  <si>
    <t>Dates</t>
  </si>
  <si>
    <t>SP Planifiés</t>
  </si>
  <si>
    <t>SP Réalisés</t>
  </si>
  <si>
    <t>US Planifiées</t>
  </si>
  <si>
    <t>US Terminées</t>
  </si>
  <si>
    <t>Bugs</t>
  </si>
  <si>
    <t>Vélocité %</t>
  </si>
  <si>
    <t>Sem 8-9 (Fév 16-27)</t>
  </si>
  <si>
    <t>Sponsors setup + Architecture</t>
  </si>
  <si>
    <t>Sem 10-11 (Mar 2-13)</t>
  </si>
  <si>
    <t>Analytics + Onboarding</t>
  </si>
  <si>
    <t>Sem 12-13 (Mar 16-27)</t>
  </si>
  <si>
    <t>Intégration + Polish</t>
  </si>
  <si>
    <t>PI-2 — Avr-Mai 2026 (61 SP planifiés)</t>
  </si>
  <si>
    <t>Sem 14-15 (Avr 1-11)</t>
  </si>
  <si>
    <t>Régie publicitaire</t>
  </si>
  <si>
    <t>Sem 16-17 (Avr 14-25)</t>
  </si>
  <si>
    <t>Motion design + Score Live</t>
  </si>
  <si>
    <t>Sem 18-19 (Avr 28-Mai 9)</t>
  </si>
  <si>
    <t>Email auto + A/B test</t>
  </si>
  <si>
    <t>Total PI-2</t>
  </si>
  <si>
    <t>PI-3 — Juin-Juil 2026 (51 SP planifiés)</t>
  </si>
  <si>
    <t>Sem 23-24 (Juin 1-12)</t>
  </si>
  <si>
    <t>Multi-écrans + Marque blanche</t>
  </si>
  <si>
    <t>Sem 25-26 (Juin 15-26)</t>
  </si>
  <si>
    <t>Billetterie + Capteurs</t>
  </si>
  <si>
    <t>Sem 27-28 (Juin 29-Juil 10)</t>
  </si>
  <si>
    <t>ML + OAuth + Solidarité</t>
  </si>
  <si>
    <t>Total PI-3</t>
  </si>
  <si>
    <t>Capacité de l'équipe</t>
  </si>
  <si>
    <t>Membre</t>
  </si>
  <si>
    <t>Rôle</t>
  </si>
  <si>
    <t>Capacité (SP/sprint)</t>
  </si>
  <si>
    <t>Spécialité</t>
  </si>
  <si>
    <t>Disponibilité</t>
  </si>
  <si>
    <t>Gwenvael</t>
  </si>
  <si>
    <t>Tech Lead / PO</t>
  </si>
  <si>
    <t>Backend, Architecture, API</t>
  </si>
  <si>
    <t>80% (PO + dev)</t>
  </si>
  <si>
    <t>Gabin</t>
  </si>
  <si>
    <t>Frontend Dev</t>
  </si>
  <si>
    <t>Angular, UI/UX, Dashboard</t>
  </si>
  <si>
    <t>100%</t>
  </si>
  <si>
    <t>Métriques Vélocité</t>
  </si>
  <si>
    <t>Métrique</t>
  </si>
  <si>
    <t>Valeur</t>
  </si>
  <si>
    <t>Cible</t>
  </si>
  <si>
    <t>Vélocité moyenne cible</t>
  </si>
  <si>
    <t>~26 SP/sprint</t>
  </si>
  <si>
    <t>26 SP</t>
  </si>
  <si>
    <t>Basé sur capacité 2 devs</t>
  </si>
  <si>
    <t>US par sprint (cible)</t>
  </si>
  <si>
    <t>6-7 US</t>
  </si>
  <si>
    <t>&gt; 5</t>
  </si>
  <si>
    <t>Fibonacci average 3-5 SP/US</t>
  </si>
  <si>
    <t>Taux de complétion</t>
  </si>
  <si>
    <t>à mesurer</t>
  </si>
  <si>
    <t>&gt; 85%</t>
  </si>
  <si>
    <t>US terminées / US planifiées</t>
  </si>
  <si>
    <t>Carry-over max</t>
  </si>
  <si>
    <t>&lt; 15%</t>
  </si>
  <si>
    <t>SP reportés vers sprint suivant</t>
  </si>
  <si>
    <t>REGISTRE ROAM</t>
  </si>
  <si>
    <t>ID Risque</t>
  </si>
  <si>
    <t>Statut ROAM</t>
  </si>
  <si>
    <t>Probabilité</t>
  </si>
  <si>
    <t>Impact</t>
  </si>
  <si>
    <t>Responsable</t>
  </si>
  <si>
    <t>Échéance</t>
  </si>
  <si>
    <t>Action / Atténuation</t>
  </si>
  <si>
    <t>R-01</t>
  </si>
  <si>
    <t>Capacité solo-dev insuffisante pour 81 SP engagés</t>
  </si>
  <si>
    <t>Accepté</t>
  </si>
  <si>
    <t>Haute</t>
  </si>
  <si>
    <t>Moyen</t>
  </si>
  <si>
    <t>Mars 2026</t>
  </si>
  <si>
    <t>Recruter freelance si &gt;60% capacité dépassée; MVP sponsors ultra-lean (portail self-service, 3 features max)</t>
  </si>
  <si>
    <t>R-02</t>
  </si>
  <si>
    <t>WiFi gymnase instable pendant les tests</t>
  </si>
  <si>
    <t>Fév 2026</t>
  </si>
  <si>
    <t>Cache 48h déployé; mode hors-ligne fonctionnel; test terrain NLF validé; monitoring signal WiFi actif</t>
  </si>
  <si>
    <t>R-03</t>
  </si>
  <si>
    <t>Aucun sponsor inscrit pour valider le portail</t>
  </si>
  <si>
    <t>Pris en charge</t>
  </si>
  <si>
    <t>Moyenne</t>
  </si>
  <si>
    <t>Élevé</t>
  </si>
  <si>
    <t>Gwenvael + Gabin</t>
  </si>
  <si>
    <t>Démo portail en conditions réelles avec 1 sponsor beta; créer offre "early adopter" avec pricing attractif</t>
  </si>
  <si>
    <t>R-04</t>
  </si>
  <si>
    <t>Dépendance Supabase pour le scaling</t>
  </si>
  <si>
    <t>Basse</t>
  </si>
  <si>
    <t>Évaluer alternatives si pool saturé (&gt;80%); plan migration PgBouncer si nécessaire</t>
  </si>
  <si>
    <t>R-05</t>
  </si>
  <si>
    <t>Sécurité des api_keys Pi</t>
  </si>
  <si>
    <t>Critique</t>
  </si>
  <si>
    <t>Rotation SHA-256 trimestrielle; audit sécurité pré-PI-2; never change api_key format</t>
  </si>
  <si>
    <t>R-06</t>
  </si>
  <si>
    <t>Retard onboarding automatisé bloque le scaling</t>
  </si>
  <si>
    <t>Prioriser E-06 (auto-provisioning + wizard); time-to-live &lt;1 jour objectif; golden image standardisée</t>
  </si>
  <si>
    <t>R-07</t>
  </si>
  <si>
    <t>Hébergement FTP Hostinger comme point de défaillance</t>
  </si>
  <si>
    <t>Évaluer migration S3/CloudFront si &gt;50 sites; backup cross-provider en place</t>
  </si>
  <si>
    <t>R-08</t>
  </si>
  <si>
    <t>Absence de tests E2E sur le parcours sponsor</t>
  </si>
  <si>
    <t>Écrire tests Playwright parcours sponsor complet avant livraison PI-1; couvrir inscription→upload→validation→diffusion</t>
  </si>
  <si>
    <t>RÉSUMÉ ROAM</t>
  </si>
  <si>
    <t>█ Vert</t>
  </si>
  <si>
    <t>█ Orange</t>
  </si>
  <si>
    <t>█ Jaune</t>
  </si>
  <si>
    <t>█ Bleu</t>
  </si>
  <si>
    <t>TOTAL</t>
  </si>
  <si>
    <t>Inspect &amp; Adapt — NEOPRO</t>
  </si>
  <si>
    <t>Fréquence: fin de chaque PI (6 sem.) | Durée: 1h | Participants: Gwenvael, Gabin</t>
  </si>
  <si>
    <t>AGENDA I&amp;A (1h)</t>
  </si>
  <si>
    <t>Phase</t>
  </si>
  <si>
    <t>Activité</t>
  </si>
  <si>
    <t>1. Démo Système PI</t>
  </si>
  <si>
    <t>Démo des features livrées pendant le PI</t>
  </si>
  <si>
    <t>2. Revue Quantitative</t>
  </si>
  <si>
    <t>Analyse des métriques (vélocité, prédictibilité, flow)</t>
  </si>
  <si>
    <t>3. Rétrospective</t>
  </si>
  <si>
    <t>20 min</t>
  </si>
  <si>
    <t>Ce qui a bien fonctionné / ce qui doit évoluer</t>
  </si>
  <si>
    <t>4. Résolution de Problème</t>
  </si>
  <si>
    <t>Identifier le problème N°1 + action corrective</t>
  </si>
  <si>
    <t>I&amp;A PI-1 — Phase 1: Démo Système (fin Mars 2026)</t>
  </si>
  <si>
    <t>Périmètre: E-01, E-02, E-03, E-06 + reliquats E-07/E-10</t>
  </si>
  <si>
    <t>Objectifs Engagés</t>
  </si>
  <si>
    <t>Livré ?</t>
  </si>
  <si>
    <t>Portail sponsor self-service</t>
  </si>
  <si>
    <t>Analytics sponsors + rapport PDF</t>
  </si>
  <si>
    <t>Rotation sponsors équitable</t>
  </si>
  <si>
    <t>Wizard onboarding club</t>
  </si>
  <si>
    <t>Objectifs Non-engagés (aspirationnels)</t>
  </si>
  <si>
    <t>WiFi USB auto-détection (reliquat)</t>
  </si>
  <si>
    <t>Carte flotte temps réel (reliquat)</t>
  </si>
  <si>
    <t>Features à démontrer (12)</t>
  </si>
  <si>
    <t>• F-01.1 Inscription sponsor self-service</t>
  </si>
  <si>
    <t>• F-01.2 Upload vidéo sponsor + sélection gymnases</t>
  </si>
  <si>
    <t>• F-01.3 Validation admin des spots</t>
  </si>
  <si>
    <t>• F-02.1 Algorithme rotation round-robin</t>
  </si>
  <si>
    <t>• F-02.2 Configuration rotation par site</t>
  </si>
  <si>
    <t>• F-03.1 Dashboard analytics impressions</t>
  </si>
  <si>
    <t>• F-03.2 Export CSV + rapport PDF</t>
  </si>
  <si>
    <t>• F-03.3 Heatmap Leaflet impressions</t>
  </si>
  <si>
    <t>• F-06.1 Auto-provisioning Pi</t>
  </si>
  <si>
    <t>• F-06.2 Wizard onboarding 4 étapes</t>
  </si>
  <si>
    <t>• F-07.3 WiFi USB auto-détection (reliquat)</t>
  </si>
  <si>
    <t>• F-10.1 Carte flotte (reliquat)</t>
  </si>
  <si>
    <t>I&amp;A PI-1 — Phase 2: Revue Quantitative</t>
  </si>
  <si>
    <t>Vélocité</t>
  </si>
  <si>
    <t>SP Complétés</t>
  </si>
  <si>
    <t>US Reportées</t>
  </si>
  <si>
    <t>Sprint 1</t>
  </si>
  <si>
    <t>Sem 8-9</t>
  </si>
  <si>
    <t>Sprint 2</t>
  </si>
  <si>
    <t>Sem 10-11</t>
  </si>
  <si>
    <t>Sprint 3</t>
  </si>
  <si>
    <t>Sem 12-13</t>
  </si>
  <si>
    <t>Total PI</t>
  </si>
  <si>
    <t>Vélocité moyenne: _ SP/sprint (cible: ~26) | Taux complétion US: _% (cible: &gt;85%) | Carry-over: _% (cible: &lt;15%)</t>
  </si>
  <si>
    <t>Prédictibilité Programme</t>
  </si>
  <si>
    <t>σ bv réel (engagés atteints) / σ bv planifié (engagés) = ___ / 37  →  Cible &gt; 80%</t>
  </si>
  <si>
    <t>Qualité</t>
  </si>
  <si>
    <t>Valeur avant PI</t>
  </si>
  <si>
    <t>Valeur fin PI</t>
  </si>
  <si>
    <t>Tests central-server</t>
  </si>
  <si>
    <t>≥ 1464</t>
  </si>
  <si>
    <t>Tests Angular Dashboard</t>
  </si>
  <si>
    <t>≥ 554</t>
  </si>
  <si>
    <t>Smoke tests</t>
  </si>
  <si>
    <t>142/142</t>
  </si>
  <si>
    <t>Tests Admin Pi</t>
  </si>
  <si>
    <t>≥ 146</t>
  </si>
  <si>
    <t>Tests Socket Pi</t>
  </si>
  <si>
    <t>≥ 71</t>
  </si>
  <si>
    <t>Total tests</t>
  </si>
  <si>
    <t>≥ 2235</t>
  </si>
  <si>
    <t>Bugs post-release</t>
  </si>
  <si>
    <t>&lt; 3</t>
  </si>
  <si>
    <t>Valeur PI-1</t>
  </si>
  <si>
    <t>Tendance</t>
  </si>
  <si>
    <t>Flow Velocity</t>
  </si>
  <si>
    <t>_ items/sprint</t>
  </si>
  <si>
    <t>8</t>
  </si>
  <si>
    <t>N/A (PI-1)</t>
  </si>
  <si>
    <t>Flow Time</t>
  </si>
  <si>
    <t>_ jours</t>
  </si>
  <si>
    <t>&lt; 10</t>
  </si>
  <si>
    <t>Flow Load</t>
  </si>
  <si>
    <t>_ items WIP</t>
  </si>
  <si>
    <t>&lt; 5</t>
  </si>
  <si>
    <t>Flow Efficiency</t>
  </si>
  <si>
    <t>_%</t>
  </si>
  <si>
    <t>&gt; 30%</t>
  </si>
  <si>
    <t>Flow Distribution</t>
  </si>
  <si>
    <t>60/15/15/10</t>
  </si>
  <si>
    <t>Temps de Cycle</t>
  </si>
  <si>
    <t>Temps de cycle moyen (PR → fusionnée)</t>
  </si>
  <si>
    <t>&lt; 3 jours</t>
  </si>
  <si>
    <t>Délai feature (début Epic → déployé)</t>
  </si>
  <si>
    <t>&lt; 14 jours</t>
  </si>
  <si>
    <t>Temps moyen en revue de code</t>
  </si>
  <si>
    <t>_ heures</t>
  </si>
  <si>
    <t>&lt; 4 heures</t>
  </si>
  <si>
    <t>Note: Solo-dev → cycle PR quasi-instantané. Le délai feature est la métrique clé.</t>
  </si>
  <si>
    <t>I&amp;A PI-1 — Phase 3: Rétrospective (20 min)</t>
  </si>
  <si>
    <t>Ce qui a bien fonctionné ✅</t>
  </si>
  <si>
    <t>Ce qui doit évoluer ⚠️</t>
  </si>
  <si>
    <t>1. _à compléter en fin de PI_</t>
  </si>
  <si>
    <t>2. _à compléter en fin de PI_</t>
  </si>
  <si>
    <t>3. _à compléter en fin de PI_</t>
  </si>
  <si>
    <t>Mise à jour ROAM</t>
  </si>
  <si>
    <t>Risque</t>
  </si>
  <si>
    <t>Statut début PI</t>
  </si>
  <si>
    <t>Nouveau statut</t>
  </si>
  <si>
    <t>Action</t>
  </si>
  <si>
    <t>R-01 Capacité solo-dev</t>
  </si>
  <si>
    <t>Accepted</t>
  </si>
  <si>
    <t>Solo-dev reste la contrainte principale</t>
  </si>
  <si>
    <t>R-02 WiFi instable</t>
  </si>
  <si>
    <t>Mitigated</t>
  </si>
  <si>
    <t>WiFi USB 4 couches stabilisé en pré-PI-1</t>
  </si>
  <si>
    <t>R-03 Aucun sponsor beta</t>
  </si>
  <si>
    <t>Owned</t>
  </si>
  <si>
    <t>Portail sponsor E-01 en PI-1</t>
  </si>
  <si>
    <t>R-04 Supabase scaling</t>
  </si>
  <si>
    <t>Transaction mode, pool 5</t>
  </si>
  <si>
    <t>R-05 Sécurité api_keys</t>
  </si>
  <si>
    <t>JWT + MFA + audit en place</t>
  </si>
  <si>
    <t>R-06 Retard onboarding</t>
  </si>
  <si>
    <t>Wizard E-06 en PI-1</t>
  </si>
  <si>
    <t>R-07 FTP Hostinger SPOF</t>
  </si>
  <si>
    <t>ADR-025 dual storage planifié</t>
  </si>
  <si>
    <t>R-08 Tests E2E sponsor</t>
  </si>
  <si>
    <t>Playwright E2E en PI-1 si capacité</t>
  </si>
  <si>
    <t>I&amp;A PI-1 — Phase 4: Résolution de Problème (10 min)</t>
  </si>
  <si>
    <t>Étape</t>
  </si>
  <si>
    <t>Détail</t>
  </si>
  <si>
    <t>Accord sur le problème</t>
  </si>
  <si>
    <t>_description factuelle_</t>
  </si>
  <si>
    <t>Analyse cause racine (5 Pourquoi)</t>
  </si>
  <si>
    <t>_5 Pourquoi ou Ishikawa_</t>
  </si>
  <si>
    <t>Identifier la cause principale</t>
  </si>
  <si>
    <t>_cause racine retenue_</t>
  </si>
  <si>
    <t>Reformuler le problème</t>
  </si>
  <si>
    <t>_reformulé avec cause racine_</t>
  </si>
  <si>
    <t>Brainstormer des solutions</t>
  </si>
  <si>
    <t>1. _ / 2. _ / 3. _</t>
  </si>
  <si>
    <t>Sélectionner et s'engager</t>
  </si>
  <si>
    <t>_solution + responsable + échéance_</t>
  </si>
  <si>
    <t>Décisions pour PI-2</t>
  </si>
  <si>
    <t>Décision</t>
  </si>
  <si>
    <t>Report US vers PI-2</t>
  </si>
  <si>
    <t>_US reportées_</t>
  </si>
  <si>
    <t>Ajustement capacité</t>
  </si>
  <si>
    <t>_vélocité réelle → nouvelle capacité PI-2_</t>
  </si>
  <si>
    <t>Nouveaux risques</t>
  </si>
  <si>
    <t>_ajoutés au ROAM PI-2_</t>
  </si>
  <si>
    <t>Ajustement périmètre PI-2</t>
  </si>
  <si>
    <t>Prévu: E-05, E-11, E-15, E-16, E-17 (69 SP)</t>
  </si>
  <si>
    <t>Amélioration processus</t>
  </si>
  <si>
    <t>_action corrective_</t>
  </si>
  <si>
    <t>Historique I&amp;A</t>
  </si>
  <si>
    <t>Date</t>
  </si>
  <si>
    <t>Prédictibilité</t>
  </si>
  <si>
    <t>Vélocité moy.</t>
  </si>
  <si>
    <t>Problème N°1</t>
  </si>
  <si>
    <t>Action corrective</t>
  </si>
  <si>
    <t>Mai 2026</t>
  </si>
  <si>
    <t>Juillet 2026</t>
  </si>
  <si>
    <t>Flow Metrics — Value Stream Level</t>
  </si>
  <si>
    <t>LES 6 FLOW METRICS (SAFe 6.0)</t>
  </si>
  <si>
    <t>Unité</t>
  </si>
  <si>
    <t>Cible PI-1</t>
  </si>
  <si>
    <t>Répartition par type (feature, enabler, defect, debt)</t>
  </si>
  <si>
    <t>%</t>
  </si>
  <si>
    <t>Items complétés par unité de temps</t>
  </si>
  <si>
    <t>items/sprint</t>
  </si>
  <si>
    <t>Temps entrée → complétion d'un item</t>
  </si>
  <si>
    <t>jours</t>
  </si>
  <si>
    <t>Items en cours (WIP)</t>
  </si>
  <si>
    <t>items</t>
  </si>
  <si>
    <t>% temps actif vs total</t>
  </si>
  <si>
    <t>Flow Predictability</t>
  </si>
  <si>
    <t>Variation vélocité entre sprints</t>
  </si>
  <si>
    <t>écart-type</t>
  </si>
  <si>
    <t>&lt; 20%</t>
  </si>
  <si>
    <t>FLOW DISTRIBUTION DVS-1 (PI-1)</t>
  </si>
  <si>
    <t>E-01, E-02, E-03, E-04</t>
  </si>
  <si>
    <t>Enabler</t>
  </si>
  <si>
    <t>E-06, E-07, E-08, E-10</t>
  </si>
  <si>
    <t>Defect</t>
  </si>
  <si>
    <t>Buffer bugs production</t>
  </si>
  <si>
    <t>Debt</t>
  </si>
  <si>
    <t>E-09 (Architecture Audit)</t>
  </si>
  <si>
    <t>FLOW DISTRIBUTION OVS-1 — Club to Screen</t>
  </si>
  <si>
    <t>Items planifiés</t>
  </si>
  <si>
    <t>% du total</t>
  </si>
  <si>
    <t>E-04 (Profils), E-06 (Onboarding)</t>
  </si>
  <si>
    <t>E-07 (WiFi V2)</t>
  </si>
  <si>
    <t>3 Epics</t>
  </si>
  <si>
    <t>FLOW DISTRIBUTION OVS-2 — Sponsor to Impression</t>
  </si>
  <si>
    <t>E-01 (Portail), E-02 (Rotation), E-03 (Analytics)</t>
  </si>
  <si>
    <t>WIP LIMITS</t>
  </si>
  <si>
    <t>Colonne</t>
  </si>
  <si>
    <t>WIP Limit</t>
  </si>
  <si>
    <t>Justification</t>
  </si>
  <si>
    <t>Analysis</t>
  </si>
  <si>
    <t>Solo dev → limiter le multitasking</t>
  </si>
  <si>
    <t>Dev</t>
  </si>
  <si>
    <t>Max 3 US en parallèle (1 complexe + 2 simples)</t>
  </si>
  <si>
    <t>Review &amp; Test</t>
  </si>
  <si>
    <t>Code review solo → auto-review + tests</t>
  </si>
  <si>
    <t>Total WIP</t>
  </si>
  <si>
    <t>Solo dev: 5 items max en cours</t>
  </si>
  <si>
    <t>LEAD TIME OVS-1 — Club to Screen</t>
  </si>
  <si>
    <t>Temps actuel</t>
  </si>
  <si>
    <t>Cible fin PI-1</t>
  </si>
  <si>
    <t>Cible PI-2</t>
  </si>
  <si>
    <t>Club signe → Envoi boîtier</t>
  </si>
  <si>
    <t>2-3 jours</t>
  </si>
  <si>
    <t>1 jour</t>
  </si>
  <si>
    <t>Même jour</t>
  </si>
  <si>
    <t>Envoi → Installation</t>
  </si>
  <si>
    <t>3-5 jours (postal)</t>
  </si>
  <si>
    <t>3-5 jours</t>
  </si>
  <si>
    <t>1-2 jours</t>
  </si>
  <si>
    <t>Installation → Config</t>
  </si>
  <si>
    <t>2-3 heures (SSH)</t>
  </si>
  <si>
    <t>30 min (wizard)</t>
  </si>
  <si>
    <t>Config → Premier contenu</t>
  </si>
  <si>
    <t>1 heure</t>
  </si>
  <si>
    <t>30 min</t>
  </si>
  <si>
    <t>Total Lead Time</t>
  </si>
  <si>
    <t>7-12 jours</t>
  </si>
  <si>
    <t>5-7 jours</t>
  </si>
  <si>
    <t>LEAD TIME OVS-2 — Sponsor to Impression</t>
  </si>
  <si>
    <t>Sponsor → Compte créé</t>
  </si>
  <si>
    <t>&lt; 1 jour</t>
  </si>
  <si>
    <t>&lt; 1 heure</t>
  </si>
  <si>
    <t>Upload spot → Validation</t>
  </si>
  <si>
    <t>48h (email)</t>
  </si>
  <si>
    <t>&lt; 4h (dashboard)</t>
  </si>
  <si>
    <t>&lt; 1h</t>
  </si>
  <si>
    <t>Validation → Première diffusion</t>
  </si>
  <si>
    <t>24h</t>
  </si>
  <si>
    <t>&lt; 2h</t>
  </si>
  <si>
    <t>Match → Rapport disponible</t>
  </si>
  <si>
    <t>Jamais (manuel)</t>
  </si>
  <si>
    <t>J+1 (auto)</t>
  </si>
  <si>
    <t>2-3 semaines</t>
  </si>
  <si>
    <t>TABLEAU DE BORD FLOW (Sprint Review)</t>
  </si>
  <si>
    <t>DVS-1 Global</t>
  </si>
  <si>
    <t>Items complétés</t>
  </si>
  <si>
    <t>Flow Time moyen</t>
  </si>
  <si>
    <t>WIP moyen</t>
  </si>
  <si>
    <t>Items bloqués (&gt; 3j)</t>
  </si>
  <si>
    <t>IMPLEMENTED BACKLOG — 174 Features en Production</t>
  </si>
  <si>
    <t>174 features — 13 domaines — Source: 34 changelogs + 200+ commits</t>
  </si>
  <si>
    <t>Version</t>
  </si>
  <si>
    <t>Fichier</t>
  </si>
  <si>
    <t>Domaine</t>
  </si>
  <si>
    <t>IMP-SEC-01</t>
  </si>
  <si>
    <t>Authentification JWT (HttpOnly cookies + Bearer)</t>
  </si>
  <si>
    <t>Production</t>
  </si>
  <si>
    <t>v1.0</t>
  </si>
  <si>
    <t>auth.controller.ts</t>
  </si>
  <si>
    <t>Authentification &amp; Sécurité</t>
  </si>
  <si>
    <t>IMP-SEC-02</t>
  </si>
  <si>
    <t>MFA / 2FA (TOTP avec QR code)</t>
  </si>
  <si>
    <t>mfa.service.ts</t>
  </si>
  <si>
    <t>IMP-SEC-03</t>
  </si>
  <si>
    <t>Réinitialisation mot de passe (token 24h + email)</t>
  </si>
  <si>
    <t>password-reset.service.ts</t>
  </si>
  <si>
    <t>IMP-SEC-04</t>
  </si>
  <si>
    <t>Journalisation d'audit GDPR</t>
  </si>
  <si>
    <t>audit.service.ts</t>
  </si>
  <si>
    <t>IMP-SEC-05</t>
  </si>
  <si>
    <t>Sécurité niveau ligne (isolation multi-tenant PostgreSQL)</t>
  </si>
  <si>
    <t>rls-functions.sql</t>
  </si>
  <si>
    <t>IMP-SEC-06</t>
  </si>
  <si>
    <t>CORS fermé par défaut en production</t>
  </si>
  <si>
    <t>server.ts</t>
  </si>
  <si>
    <t>IMP-SEC-07</t>
  </si>
  <si>
    <t>Auth admin Raspberry (cookies session + mot de passe initial)</t>
  </si>
  <si>
    <t>admin-server.js</t>
  </si>
  <si>
    <t>IMP-SEC-08</t>
  </si>
  <si>
    <t>Suppression mot de passe en dur</t>
  </si>
  <si>
    <t>IMP-SEC-09</t>
  </si>
  <si>
    <t>GDPR self-service (Art. 17 droit à l'effacement, Art. 20 portabilité)</t>
  </si>
  <si>
    <t>gdpr.service.ts</t>
  </si>
  <si>
    <t>IMP-SEC-10</t>
  </si>
  <si>
    <t>Sauvegardes chiffrées AES-256-GCM avec PBKDF2</t>
  </si>
  <si>
    <t>backup-encryption.service.ts</t>
  </si>
  <si>
    <t>IMP-SEC-11</t>
  </si>
  <si>
    <t>Helmet renforcé (CSP, X-Frame-Options deny, HSTS 1 an)</t>
  </si>
  <si>
    <t>IMP-SEC-12</t>
  </si>
  <si>
    <t>Socket.IO CORS fermé par défaut (production)</t>
  </si>
  <si>
    <t>socket.service.ts</t>
  </si>
  <si>
    <t>IMP-SEC-13</t>
  </si>
  <si>
    <t>Pages légales intégrées (CGU, CGV, Politique de confidentialité, Registre GDPR)</t>
  </si>
  <si>
    <t>/legal/*</t>
  </si>
  <si>
    <t>IMP-VID-02</t>
  </si>
  <si>
    <t>Compression vidéo automatique</t>
  </si>
  <si>
    <t>video-compression.service.ts</t>
  </si>
  <si>
    <t>Content Management</t>
  </si>
  <si>
    <t>IMP-VID-03</t>
  </si>
  <si>
    <t>Conversion image vers vidéo (ffmpeg, JPG/PNG/WEBP → MP4)</t>
  </si>
  <si>
    <t>v2.44.0</t>
  </si>
  <si>
    <t>image-to-video.service.ts</t>
  </si>
  <si>
    <t>IMP-VID-04</t>
  </si>
  <si>
    <t>Conversion image vers vidéo : option fond flouté</t>
  </si>
  <si>
    <t>IMP-VID-05</t>
  </si>
  <si>
    <t>Miniatures automatiques</t>
  </si>
  <si>
    <t>thumbnail.service.ts</t>
  </si>
  <si>
    <t>IMP-VID-06</t>
  </si>
  <si>
    <t>Stockage unifié FTP (Hostinger)</t>
  </si>
  <si>
    <t>storage.service.ts</t>
  </si>
  <si>
    <t>IMP-VID-07</t>
  </si>
  <si>
    <t>Versioning brouillon de config (sauvegarder avant déployer)</t>
  </si>
  <si>
    <t>draft.service.ts</t>
  </si>
  <si>
    <t>IMP-VID-08</t>
  </si>
  <si>
    <t>Gestion des assets (logos, images)</t>
  </si>
  <si>
    <t>assets.controller.ts</t>
  </si>
  <si>
    <t>IMP-VID-09</t>
  </si>
  <si>
    <t>Pagination côté serveur pour listing vidéos</t>
  </si>
  <si>
    <t>v3.56.0</t>
  </si>
  <si>
    <t>content.controller.ts</t>
  </si>
  <si>
    <t>IMP-VID-10</t>
  </si>
  <si>
    <t>Prévisualisation vidéo dans page gestion contenu</t>
  </si>
  <si>
    <t>content-management.component.ts</t>
  </si>
  <si>
    <t>IMP-VID-11</t>
  </si>
  <si>
    <t>Historique config avec détail dépliable et restauration</t>
  </si>
  <si>
    <t>v3.43.0</t>
  </si>
  <si>
    <t>config-history.component.ts</t>
  </si>
  <si>
    <t>IMP-VID-12</t>
  </si>
  <si>
    <t>Restructuration UX onglet Contenu (ADR-022, P0→P3)</t>
  </si>
  <si>
    <t>v3.39.0</t>
  </si>
  <si>
    <t>content-tab.component.ts</t>
  </si>
  <si>
    <t>IMP-VID-13</t>
  </si>
  <si>
    <t>Historique des modifications dans onglet Contenu (P3-3)</t>
  </si>
  <si>
    <t>v3.40.0</t>
  </si>
  <si>
    <t>IMP-OVR-01</t>
  </si>
  <si>
    <t>Overlay V2 Multi-Sport (6 sports, 9 positions)</t>
  </si>
  <si>
    <t>tv.component.ts</t>
  </si>
  <si>
    <t>Overlay &amp; Score Live</t>
  </si>
  <si>
    <t>IMP-OVR-03</t>
  </si>
  <si>
    <t>Overlay score simplifié : 2 thèmes CSS broadcast</t>
  </si>
  <si>
    <t>v3.50.0</t>
  </si>
  <si>
    <t>overlay.component.ts</t>
  </si>
  <si>
    <t>IMP-OVR-04</t>
  </si>
  <si>
    <t>Score en direct avec overlay + popup</t>
  </si>
  <si>
    <t>IMP-OVR-05</t>
  </si>
  <si>
    <t>Personnalisation overlay score depuis dashboard central</t>
  </si>
  <si>
    <t>IMP-OVR-06</t>
  </si>
  <si>
    <t>Upload logos équipes et affichage dans overlay</t>
  </si>
  <si>
    <t>IMP-OVR-07</t>
  </si>
  <si>
    <t>Presets overlay (templates de configuration réutilisables)</t>
  </si>
  <si>
    <t>IMP-OVR-08</t>
  </si>
  <si>
    <t>Bandeau d'informations défilant (scroll/truncate/multiline)</t>
  </si>
  <si>
    <t>IMP-OVR-09</t>
  </si>
  <si>
    <t>Animation but (popup/plein écran/slide)</t>
  </si>
  <si>
    <t>IMP-OVR-10</t>
  </si>
  <si>
    <t>Chronomètre intégré avec score</t>
  </si>
  <si>
    <t>IMP-DEP-01</t>
  </si>
  <si>
    <t>Déploiement vidéo avec retry (3 max, backoff 5min)</t>
  </si>
  <si>
    <t>deployment.service.ts</t>
  </si>
  <si>
    <t>Déploiement &amp; OTA</t>
  </si>
  <si>
    <t>IMP-DEP-02</t>
  </si>
  <si>
    <t>Déploiement orchestré multi-sites</t>
  </si>
  <si>
    <t>orchestrated-deployment.service.ts</t>
  </si>
  <si>
    <t>IMP-DEP-04</t>
  </si>
  <si>
    <t>Mises à jour logicielles OTA avec planification redémarrage</t>
  </si>
  <si>
    <t>update-deployment.service.ts</t>
  </si>
  <si>
    <t>IMP-DEP-05</t>
  </si>
  <si>
    <t>File de commandes (commandes pour Pi hors-ligne)</t>
  </si>
  <si>
    <t>command-queue.service.ts</t>
  </si>
  <si>
    <t>IMP-DEP-06</t>
  </si>
  <si>
    <t>Déploiements planifiés (date/heure)</t>
  </si>
  <si>
    <t>IMP-DEP-07</t>
  </si>
  <si>
    <t>File de déploiement vidéo (pattern sendOrQueue)</t>
  </si>
  <si>
    <t>v2.6.2</t>
  </si>
  <si>
    <t>IMP-DEP-08</t>
  </si>
  <si>
    <t>OTA planification redémarrage + rollback automatique</t>
  </si>
  <si>
    <t>v3.55.0</t>
  </si>
  <si>
    <t>IMP-DEP-09</t>
  </si>
  <si>
    <t>Exécuteur de migration + retry checksum OTA</t>
  </si>
  <si>
    <t>migration-runner.js</t>
  </si>
  <si>
    <t>IMP-DEP-10</t>
  </si>
  <si>
    <t>Diagnostic santé Pi complet (mode JSON)</t>
  </si>
  <si>
    <t>v3.46.0</t>
  </si>
  <si>
    <t>health-diagnostic.js</t>
  </si>
  <si>
    <t>IMP-DEP-11</t>
  </si>
  <si>
    <t>Scripts pré-migration (fix ownership, copie VERSION)</t>
  </si>
  <si>
    <t>v3.30.5</t>
  </si>
  <si>
    <t>pre-migration.sh</t>
  </si>
  <si>
    <t>IMP-DEP-12</t>
  </si>
  <si>
    <t>Scripts install/setup/build renforcés</t>
  </si>
  <si>
    <t>v3.44.4</t>
  </si>
  <si>
    <t>install.sh, setup.sh</t>
  </si>
  <si>
    <t>IMP-MON-01</t>
  </si>
  <si>
    <t>Système d'abonnements 3 tiers (Essentiel/Autonomie/Premium)</t>
  </si>
  <si>
    <t>subscription.service.ts</t>
  </si>
  <si>
    <t>Sponsors &amp; Régie</t>
  </si>
  <si>
    <t>IMP-MON-02</t>
  </si>
  <si>
    <t>Facturation mensuelle (export CSV/JSON)</t>
  </si>
  <si>
    <t>billing.service.ts</t>
  </si>
  <si>
    <t>IMP-MON-03</t>
  </si>
  <si>
    <t>Portail annonceur (upload vidéos, analytics, compte)</t>
  </si>
  <si>
    <t>advertiser-portal.controller.ts</t>
  </si>
  <si>
    <t>IMP-MON-05</t>
  </si>
  <si>
    <t>Portail agence (gestion multi-annonceurs)</t>
  </si>
  <si>
    <t>agency.controller.ts</t>
  </si>
  <si>
    <t>IMP-MON-06</t>
  </si>
  <si>
    <t>site-sponsor.controller.ts</t>
  </si>
  <si>
    <t>IMP-MON-07</t>
  </si>
  <si>
    <t>Migration Sponsor → Annonceur (sémantique métier)</t>
  </si>
  <si>
    <t>rename-sponsor-to-advertiser.sql</t>
  </si>
  <si>
    <t>IMP-MON-08</t>
  </si>
  <si>
    <t>Preuve de diffusion (capture + certificat)</t>
  </si>
  <si>
    <t>proof.service.ts</t>
  </si>
  <si>
    <t>IMP-MON-09</t>
  </si>
  <si>
    <t>Métriques sponsors cross-réseau</t>
  </si>
  <si>
    <t>network-sponsor.routes.ts</t>
  </si>
  <si>
    <t>IMP-MON-10</t>
  </si>
  <si>
    <t>Interface association vidéo-sponsor (ajout/suppression)</t>
  </si>
  <si>
    <t>v3.59.0</t>
  </si>
  <si>
    <t>video-sponsor.component.ts</t>
  </si>
  <si>
    <t>IMP-MON-11</t>
  </si>
  <si>
    <t>Sync dashboard sponsors vers Pi pendant déploiement (P8)</t>
  </si>
  <si>
    <t>v3.60.0</t>
  </si>
  <si>
    <t>IMP-MON-12</t>
  </si>
  <si>
    <t>Site-sponsors P0-P5 : analytics, branding &amp; liens magiques</t>
  </si>
  <si>
    <t>v3.53.0</t>
  </si>
  <si>
    <t>IMP-MON-13</t>
  </si>
  <si>
    <t>Poussée licence temps réel vers Pi sur changement abonnement</t>
  </si>
  <si>
    <t>v3.30.1</t>
  </si>
  <si>
    <t>IMP-MON-14</t>
  </si>
  <si>
    <t>Interface abonnement : design premium glassmorphism + modal unifié</t>
  </si>
  <si>
    <t>v3.30.0</t>
  </si>
  <si>
    <t>subscription.component.ts</t>
  </si>
  <si>
    <t>IMP-ANA-01</t>
  </si>
  <si>
    <t>Analytics club (santé, engagement, lectures vidéo)</t>
  </si>
  <si>
    <t>analytics.controller.ts</t>
  </si>
  <si>
    <t>Analytics &amp; Reporting</t>
  </si>
  <si>
    <t>IMP-ANA-02</t>
  </si>
  <si>
    <t>Analytics annonceurs (impressions par gymnase/période)</t>
  </si>
  <si>
    <t>advertiser-analytics.controller.ts</t>
  </si>
  <si>
    <t>IMP-ANA-03</t>
  </si>
  <si>
    <t>Rapport PDF club (6 pages avec signature SHA-256)</t>
  </si>
  <si>
    <t>pdf-report.service.ts</t>
  </si>
  <si>
    <t>IMP-ANA-04</t>
  </si>
  <si>
    <t>Rapports mensuels automatisés (PDF + CSV)</t>
  </si>
  <si>
    <t>monthly-reports.service.ts</t>
  </si>
  <si>
    <t>IMP-ANA-06</t>
  </si>
  <si>
    <t>Benchmark clubs anonymisé</t>
  </si>
  <si>
    <t>benchmark.service.ts</t>
  </si>
  <si>
    <t>IMP-ANA-07</t>
  </si>
  <si>
    <t>Métriques Prometheus (performance, alertes, sync)</t>
  </si>
  <si>
    <t>metrics.service.ts</t>
  </si>
  <si>
    <t>IMP-ANA-08</t>
  </si>
  <si>
    <t>Statistiques temps réel (agrégation live)</t>
  </si>
  <si>
    <t>realtime-stats.service.ts</t>
  </si>
  <si>
    <t>IMP-ANA-09</t>
  </si>
  <si>
    <t>Métriques pitch-deck (investisseurs)</t>
  </si>
  <si>
    <t>v3.31.0</t>
  </si>
  <si>
    <t>pitch-deck.controller.ts</t>
  </si>
  <si>
    <t>IMP-ANA-10</t>
  </si>
  <si>
    <t>Estimation d'audience et score live (champs DB)</t>
  </si>
  <si>
    <t>add-audience-fields.sql</t>
  </si>
  <si>
    <t>IMP-ANA-11</t>
  </si>
  <si>
    <t>P6 analytics : statistiques réseau, benchmark, CPI, décomposition match PDF</t>
  </si>
  <si>
    <t>v3.54.0</t>
  </si>
  <si>
    <t>IMP-ANA-12</t>
  </si>
  <si>
    <t>Dashboard métriques de traction (KPIs business pour pitch)</t>
  </si>
  <si>
    <t>v3.41.0</t>
  </si>
  <si>
    <t>traction-metrics.component.ts</t>
  </si>
  <si>
    <t>IMP-ANA-13</t>
  </si>
  <si>
    <t>Détection statut TV HDMI-CEC (filtrer vraies lectures vidéo)</t>
  </si>
  <si>
    <t>v3.44.0</t>
  </si>
  <si>
    <t>hdmi-cec.service.ts</t>
  </si>
  <si>
    <t>IMP-ANA-14</t>
  </si>
  <si>
    <t>Dashboard santé flotte</t>
  </si>
  <si>
    <t>fleet-health.component.ts</t>
  </si>
  <si>
    <t>IMP-ANA-15</t>
  </si>
  <si>
    <t>Dashboard temps réel + export Excel</t>
  </si>
  <si>
    <t>realtime-dashboard.component.ts</t>
  </si>
  <si>
    <t>IMP-ANA-16</t>
  </si>
  <si>
    <t>Navigation par onglets sur toutes les pages analytics</t>
  </si>
  <si>
    <t>v3.47.0</t>
  </si>
  <si>
    <t>analytics.module.ts</t>
  </si>
  <si>
    <t>IMP-ANA-17</t>
  </si>
  <si>
    <t>Analytics sponsors : 6 KPIs, graphiques (ligne + anneau), export CSV</t>
  </si>
  <si>
    <t>sponsor-analytics.component.ts</t>
  </si>
  <si>
    <t>IMP-ANA-18</t>
  </si>
  <si>
    <t>Rapports PDF sponsors professionnels (Chart.js)</t>
  </si>
  <si>
    <t>IMP-PI-01</t>
  </si>
  <si>
    <t>Télécommande v2 (recherche, badge audience, modal match)</t>
  </si>
  <si>
    <t>remote.component.ts</t>
  </si>
  <si>
    <t>Raspberry Pi &amp; Edge</t>
  </si>
  <si>
    <t>IMP-PI-02</t>
  </si>
  <si>
    <t>Socket.IO mode hors-ligne autonome (lib locale)</t>
  </si>
  <si>
    <t>socket.io.min.js</t>
  </si>
  <si>
    <t>IMP-PI-03</t>
  </si>
  <si>
    <t>Lecture vidéo double-buffer (transitions fluides)</t>
  </si>
  <si>
    <t>double-buffer-video.service.ts</t>
  </si>
  <si>
    <t>IMP-PI-04</t>
  </si>
  <si>
    <t>Profils de configuration (avant/pendant/après match)</t>
  </si>
  <si>
    <t>profile-config.service.ts</t>
  </si>
  <si>
    <t>IMP-PI-05</t>
  </si>
  <si>
    <t>Détection statut HDMI</t>
  </si>
  <si>
    <t>hdmi-status.service.ts</t>
  </si>
  <si>
    <t>IMP-PI-07</t>
  </si>
  <si>
    <t>Récupération erreur vidéo (lecture de secours)</t>
  </si>
  <si>
    <t>video-error-recovery.service.ts</t>
  </si>
  <si>
    <t>IMP-PI-08</t>
  </si>
  <si>
    <t>Filigrane overlay configurable</t>
  </si>
  <si>
    <t>watermark.service.ts</t>
  </si>
  <si>
    <t>IMP-PI-09</t>
  </si>
  <si>
    <t>Sélecteur de filigrane déroulant sur Dashboard</t>
  </si>
  <si>
    <t>v3.57.0</t>
  </si>
  <si>
    <t>watermark.component.ts</t>
  </si>
  <si>
    <t>IMP-PI-10</t>
  </si>
  <si>
    <t>Capture d'écran (à la demande depuis télécommande cloud)</t>
  </si>
  <si>
    <t>screenshot.service.ts</t>
  </si>
  <si>
    <t>IMP-PI-11</t>
  </si>
  <si>
    <t>Branding personnalisé par site (logo, couleurs)</t>
  </si>
  <si>
    <t>add-site-branding.sql</t>
  </si>
  <si>
    <t>IMP-PI-12</t>
  </si>
  <si>
    <t>Hostname Pi dynamique dérivé du nom du club</t>
  </si>
  <si>
    <t>v3.51.0</t>
  </si>
  <si>
    <t>hostname.service.ts</t>
  </si>
  <si>
    <t>IMP-PI-13</t>
  </si>
  <si>
    <t>Enregistrement : retour auto en boucle après inactivité</t>
  </si>
  <si>
    <t>v3.45.0</t>
  </si>
  <si>
    <t>recording.service.ts</t>
  </si>
  <si>
    <t>IMP-PI-14</t>
  </si>
  <si>
    <t>Enregistrement : popup avertissement inactivité avec décompte (ADR-021)</t>
  </si>
  <si>
    <t>v3.38.0</t>
  </si>
  <si>
    <t>IMP-PI-15</t>
  </si>
  <si>
    <t>Bascule mode club/tech + widget statut sync</t>
  </si>
  <si>
    <t>v3.37.0</t>
  </si>
  <si>
    <t>admin-panel.component.ts</t>
  </si>
  <si>
    <t>IMP-PI-16</t>
  </si>
  <si>
    <t>Installation apt depuis dashboard via sudoers</t>
  </si>
  <si>
    <t>sudoers, admin-server.js</t>
  </si>
  <si>
    <t>IMP-PI-17</t>
  </si>
  <si>
    <t>Contrôle enregistrement analytics + sync TV maître-esclave</t>
  </si>
  <si>
    <t>IMP-PI-18</t>
  </si>
  <si>
    <t>Masquage curseur kiosque (triple protection sur TV)</t>
  </si>
  <si>
    <t>v3.44.2</t>
  </si>
  <si>
    <t>kiosk.css</t>
  </si>
  <si>
    <t>IMP-PI-19</t>
  </si>
  <si>
    <t>Transitions TV : détection frame réel (élimine trous noirs sur Pi 5)</t>
  </si>
  <si>
    <t>IMP-PI-20</t>
  </si>
  <si>
    <t>Chromium → chromium (compat Raspberry Pi OS Trixie)</t>
  </si>
  <si>
    <t>kiosk.sh</t>
  </si>
  <si>
    <t>IMP-PI-21</t>
  </si>
  <si>
    <t>Programmation boucle vidéo par phase match (pré/pendant/post)</t>
  </si>
  <si>
    <t>loop-scheduler.js</t>
  </si>
  <si>
    <t>IMP-PI-22</t>
  </si>
  <si>
    <t>Disk cache warming (prefetch 3 vidéos)</t>
  </si>
  <si>
    <t>IMP-PI-23</t>
  </si>
  <si>
    <t>GPU cleanup (libération buffers decoder)</t>
  </si>
  <si>
    <t>IMP-PI-24</t>
  </si>
  <si>
    <t>Hardware H.264 decode Pi4 / software Pi5</t>
  </si>
  <si>
    <t>IMP-NET-01</t>
  </si>
  <si>
    <t>Agent de sync bidirectionnel (cloud ↔ Pi)</t>
  </si>
  <si>
    <t>sync-agent/</t>
  </si>
  <si>
    <t>Réseau &amp; Connectivité</t>
  </si>
  <si>
    <t>IMP-NET-02</t>
  </si>
  <si>
    <t>File d'attente hors-ligne (stocke commandes pendant déconnexion)</t>
  </si>
  <si>
    <t>offline-queue.js</t>
  </si>
  <si>
    <t>IMP-NET-03</t>
  </si>
  <si>
    <t>Chien de garde réseau (surveillance réseau)</t>
  </si>
  <si>
    <t>network-watchdog.js</t>
  </si>
  <si>
    <t>IMP-NET-04</t>
  </si>
  <si>
    <t>Opérations réseau sécurisées (retry + backoff exponentiel)</t>
  </si>
  <si>
    <t>safe-network-operations.js</t>
  </si>
  <si>
    <t>IMP-NET-05</t>
  </si>
  <si>
    <t>Détection statut connexion (en ligne/hors-ligne/dégradé)</t>
  </si>
  <si>
    <t>connection-status.js</t>
  </si>
  <si>
    <t>IMP-NET-06</t>
  </si>
  <si>
    <t>Historique de synchronisation</t>
  </si>
  <si>
    <t>sync-history.js</t>
  </si>
  <si>
    <t>IMP-NET-08</t>
  </si>
  <si>
    <t>Mécanisme de rollback pour opérations réseau risquées</t>
  </si>
  <si>
    <t>v2.37.0</t>
  </si>
  <si>
    <t>IMP-NET-09</t>
  </si>
  <si>
    <t>Alertes réseau proactives (mesh, isolation client, stabilité)</t>
  </si>
  <si>
    <t>network-alerts.service.ts</t>
  </si>
  <si>
    <t>IMP-NET-10</t>
  </si>
  <si>
    <t>Support portail captif Android + compat iOS/Windows/macOS</t>
  </si>
  <si>
    <t>captive-portal.sh</t>
  </si>
  <si>
    <t>IMP-NET-11</t>
  </si>
  <si>
    <t>WiFi USB RTL8192EU stabilisation 4 couches (driver + udev + boot + watchdog)</t>
  </si>
  <si>
    <t>v3.42.0</t>
  </si>
  <si>
    <t>wifi-usb-stabilize.sh</t>
  </si>
  <si>
    <t>IMP-NET-12</t>
  </si>
  <si>
    <t>Anti-interférence hotspot (penalty +100 sur sélection canal wlan1)</t>
  </si>
  <si>
    <t>IMP-NET-13</t>
  </si>
  <si>
    <t>WiFi récupération rapide (~2min vs ~5min) + fix boot init</t>
  </si>
  <si>
    <t>v3.58.0</t>
  </si>
  <si>
    <t>wifi-recovery.js</t>
  </si>
  <si>
    <t>IMP-NET-14</t>
  </si>
  <si>
    <t>Préservation hotspot wlan1 (pas de restart hostapd immédiat)</t>
  </si>
  <si>
    <t>fix-hotspot.sh</t>
  </si>
  <si>
    <t>IMP-NET-15</t>
  </si>
  <si>
    <t>Écriture atomique sync-agent pour configuration.json + auto-recovery</t>
  </si>
  <si>
    <t>v3.48.0</t>
  </si>
  <si>
    <t>sync-agent/config-writer.js</t>
  </si>
  <si>
    <t>IMP-NET-16</t>
  </si>
  <si>
    <t>Socket local persistant sync-agent (remplace éphémère)</t>
  </si>
  <si>
    <t>sync-agent/socket.js</t>
  </si>
  <si>
    <t>IMP-NET-17</t>
  </si>
  <si>
    <t>Configuration WiFi client à distance depuis dashboard central</t>
  </si>
  <si>
    <t>v3.36.0</t>
  </si>
  <si>
    <t>wifi-config.controller.ts</t>
  </si>
  <si>
    <t>IMP-NET-18</t>
  </si>
  <si>
    <t>Zombie detection (connected flag vs socket)</t>
  </si>
  <si>
    <t>IMP-NET-19</t>
  </si>
  <si>
    <t>Grace period persistence (survit OTA restart)</t>
  </si>
  <si>
    <t>v3.35.1</t>
  </si>
  <si>
    <t>IMP-ALR-01</t>
  </si>
  <si>
    <t>Alertes réactives (CRUD, règles, escalade)</t>
  </si>
  <si>
    <t>alerting.service.ts</t>
  </si>
  <si>
    <t>Monitoring &amp; Alertes</t>
  </si>
  <si>
    <t>IMP-ALR-02</t>
  </si>
  <si>
    <t>Alertes prédictives (disque, CPU, WiFi, inactivité)</t>
  </si>
  <si>
    <t>IMP-ALR-03</t>
  </si>
  <si>
    <t>Alertes réseau (qualité WiFi, déconnexions)</t>
  </si>
  <si>
    <t>IMP-ALR-04</t>
  </si>
  <si>
    <t>Vérifications santé système</t>
  </si>
  <si>
    <t>health.service.ts</t>
  </si>
  <si>
    <t>IMP-ALR-05</t>
  </si>
  <si>
    <t>Objectifs &amp; alertes clubs (7 métriques, 3 périodes)</t>
  </si>
  <si>
    <t>objectives.controller.ts</t>
  </si>
  <si>
    <t>IMP-ALR-06</t>
  </si>
  <si>
    <t>Monitoring ventilateur de bout en bout (alertes + Prometheus + Grafana)</t>
  </si>
  <si>
    <t>v3.52.0</t>
  </si>
  <si>
    <t>fan-monitoring.service.ts</t>
  </si>
  <si>
    <t>IMP-ALR-07</t>
  </si>
  <si>
    <t>Notification Slack "Site en ligne" sur reconnexion Pi</t>
  </si>
  <si>
    <t>v3.49.0</t>
  </si>
  <si>
    <t>slack.service.ts</t>
  </si>
  <si>
    <t>IMP-ALR-09</t>
  </si>
  <si>
    <t>Notifications webhook pour alertes</t>
  </si>
  <si>
    <t>webhook.service.ts</t>
  </si>
  <si>
    <t>IMP-ALR-10</t>
  </si>
  <si>
    <t>Escalade superviseur pour alertes critiques</t>
  </si>
  <si>
    <t>IMP-ALR-11</t>
  </si>
  <si>
    <t>Anti-flapping cooldown Slack + arrêt propre</t>
  </si>
  <si>
    <t>v3.47.2</t>
  </si>
  <si>
    <t>IMP-ALR-12</t>
  </si>
  <si>
    <t>Détection crash kiosque de bout en bout + lien télécommande cloud</t>
  </si>
  <si>
    <t>kiosk-monitor.service.ts</t>
  </si>
  <si>
    <t>IMP-ALR-13</t>
  </si>
  <si>
    <t>Pipeline métriques qualité transitions vidéo</t>
  </si>
  <si>
    <t>IMP-ALR-14</t>
  </si>
  <si>
    <t>Métrique Prometheus déconnexion Socket + panels Grafana</t>
  </si>
  <si>
    <t>IMP-ALR-15</t>
  </si>
  <si>
    <t>Métriques pool connexions DB (actif/inactif)</t>
  </si>
  <si>
    <t>IMP-ALR-16</t>
  </si>
  <si>
    <t>Dashboards Grafana Cloud avec auth Bearer sur /metrics</t>
  </si>
  <si>
    <t>metrics.middleware.ts</t>
  </si>
  <si>
    <t>IMP-ALR-17</t>
  </si>
  <si>
    <t>3 dashboards Grafana restructurés + mémoire/prédictif/facturation</t>
  </si>
  <si>
    <t>grafana/</t>
  </si>
  <si>
    <t>IMP-ALR-18</t>
  </si>
  <si>
    <t>Lacunes supervision complétées (4 métriques, 3 alertes, kiosque Grafana)</t>
  </si>
  <si>
    <t>monitoring/</t>
  </si>
  <si>
    <t>IMP-ALR-19</t>
  </si>
  <si>
    <t>Métriques FTP, sync, rate-limit + logs corrélés</t>
  </si>
  <si>
    <t>IMP-ALR-20</t>
  </si>
  <si>
    <t>Journalisation centralisée Logtail/Better Stack</t>
  </si>
  <si>
    <t>logtail.service.ts</t>
  </si>
  <si>
    <t>IMP-ALR-21</t>
  </si>
  <si>
    <t>3 seuils d'alerte horaires avec flux de données</t>
  </si>
  <si>
    <t>v3.35.0</t>
  </si>
  <si>
    <t>IMP-ALR-22</t>
  </si>
  <si>
    <t>Smoke tests pour monitoring + métriques réseau Pi</t>
  </si>
  <si>
    <t>smoke/</t>
  </si>
  <si>
    <t>IMP-ALR-23</t>
  </si>
  <si>
    <t>18 seuils alertes (6 réactifs + 9 prédictifs + 3 kiosk)</t>
  </si>
  <si>
    <t>IMP-ADM-01</t>
  </si>
  <si>
    <t>Système de jobs admin (build, deploy, sync, maintenance)</t>
  </si>
  <si>
    <t>admin-ops.service.ts</t>
  </si>
  <si>
    <t>Admin &amp; Configuration</t>
  </si>
  <si>
    <t>IMP-ADM-02</t>
  </si>
  <si>
    <t>Télécommande cloud (protégée par PIN, rate-limited)</t>
  </si>
  <si>
    <t>remote.controller.ts</t>
  </si>
  <si>
    <t>IMP-ADM-03</t>
  </si>
  <si>
    <t>Groupes de sites (regroupement logique)</t>
  </si>
  <si>
    <t>groups.controller.ts</t>
  </si>
  <si>
    <t>IMP-ADM-04</t>
  </si>
  <si>
    <t>Email transactionnel (alertes, reset, notifications)</t>
  </si>
  <si>
    <t>email.service.ts</t>
  </si>
  <si>
    <t>IMP-ADM-05</t>
  </si>
  <si>
    <t>Gestionnaire mémoire (prévention fuites mémoire)</t>
  </si>
  <si>
    <t>memory-manager.service.ts</t>
  </si>
  <si>
    <t>IMP-ADM-06</t>
  </si>
  <si>
    <t>Cache mémoire (TTL 60s)</t>
  </si>
  <si>
    <t>memory-cache.service.ts</t>
  </si>
  <si>
    <t>IMP-ADM-07</t>
  </si>
  <si>
    <t>Nettoyage automatique rétention données</t>
  </si>
  <si>
    <t>data-retention-cleanup.sql</t>
  </si>
  <si>
    <t>IMP-ADM-08</t>
  </si>
  <si>
    <t>Slugs URL de site (URLs lisibles)</t>
  </si>
  <si>
    <t>add-hostname-slug.sql</t>
  </si>
  <si>
    <t>IMP-ADM-10</t>
  </si>
  <si>
    <t>Documentation OpenAPI Swagger (30+ endpoints)</t>
  </si>
  <si>
    <t>swagger.ts</t>
  </si>
  <si>
    <t>IMP-ADM-11</t>
  </si>
  <si>
    <t>Vue carte des sites (Leaflet, statut temps réel)</t>
  </si>
  <si>
    <t>sites-map.component.ts</t>
  </si>
  <si>
    <t>IMP-ADM-12</t>
  </si>
  <si>
    <t>Bundle de diagnostic (logs kernel dmesg, lsusb, logs étendus 24h)</t>
  </si>
  <si>
    <t>v3.32.0</t>
  </si>
  <si>
    <t>debug-bundle.sh</t>
  </si>
  <si>
    <t>IMP-ADM-13</t>
  </si>
  <si>
    <t>Générateur QR code avec bouton accès télécommande cloud</t>
  </si>
  <si>
    <t>qr-code.component.ts</t>
  </si>
  <si>
    <t>IMP-ADM-14</t>
  </si>
  <si>
    <t>Télécommande cloud : vue live TV + monitoring état lecteur</t>
  </si>
  <si>
    <t>IMP-ADM-15</t>
  </si>
  <si>
    <t>Télécommande cloud : affichage licence + indicateur REC</t>
  </si>
  <si>
    <t>IMP-ADM-16</t>
  </si>
  <si>
    <t>Télécommande cloud : relais capture écran HTTP</t>
  </si>
  <si>
    <t>v3.57.3</t>
  </si>
  <si>
    <t>IMP-ADM-17</t>
  </si>
  <si>
    <t>Onglet profils dans détail site : interface multi-config</t>
  </si>
  <si>
    <t>profiles.component.ts</t>
  </si>
  <si>
    <t>IMP-ADM-18</t>
  </si>
  <si>
    <t>Modal de suppression UX + paramètres suppression Pi</t>
  </si>
  <si>
    <t>v3.30.7</t>
  </si>
  <si>
    <t>site-detail.component.ts</t>
  </si>
  <si>
    <t>IMP-ADM-19</t>
  </si>
  <si>
    <t>Suppression vidéo cloud/Pi (bibliothèque vidéo)</t>
  </si>
  <si>
    <t>v3.30.3</t>
  </si>
  <si>
    <t>IMP-ADM-20</t>
  </si>
  <si>
    <t>Planifications récurrentes cron (quotidien/hebdo/mensuel/personnalisé)</t>
  </si>
  <si>
    <t>cron-scheduler.service.ts</t>
  </si>
  <si>
    <t>IMP-ADM-21</t>
  </si>
  <si>
    <t>Rate-limit analytics Pi (500 req/min)</t>
  </si>
  <si>
    <t>rate-limit.middleware.ts</t>
  </si>
  <si>
    <t>IMP-ADM-22</t>
  </si>
  <si>
    <t>Auto-sync versions sous-paquets raspberry à la release</t>
  </si>
  <si>
    <t>release.sh</t>
  </si>
  <si>
    <t>IMP-ADM-23</t>
  </si>
  <si>
    <t>Remote shell (exec commandes Pi WebSocket)</t>
  </si>
  <si>
    <t>IMP-ADM-24</t>
  </si>
  <si>
    <t>Terminal distant (whitelist/blacklist par rôle)</t>
  </si>
  <si>
    <t>IMP-PLS-01</t>
  </si>
  <si>
    <t>Playlists personnalisées (ordre, aléatoire, pondéré)</t>
  </si>
  <si>
    <t>playlist-schedule.controller.ts</t>
  </si>
  <si>
    <t>Diffusion &amp; Playlists</t>
  </si>
  <si>
    <t>IMP-PLS-02</t>
  </si>
  <si>
    <t>Programmation horaire (jours, heures, contexte match)</t>
  </si>
  <si>
    <t>IMP-PLS-03</t>
  </si>
  <si>
    <t>Planifications récurrentes</t>
  </si>
  <si>
    <t>add-recurring-schedules.sql</t>
  </si>
  <si>
    <t>IMP-USR-01</t>
  </si>
  <si>
    <t>Gestion utilisateurs multi-tenant (super_admin &gt; admin &gt; operator &gt; viewer)</t>
  </si>
  <si>
    <t>users.controller.ts</t>
  </si>
  <si>
    <t>Utilisateurs &amp; Rôles</t>
  </si>
  <si>
    <t>IMP-USR-02</t>
  </si>
  <si>
    <t>Rôles sponsor/annonceur + agence avec enrichissement JWT</t>
  </si>
  <si>
    <t>auth.service.ts</t>
  </si>
  <si>
    <t>IMP-USR-03</t>
  </si>
  <si>
    <t>Portail agences : gestion multi-annonceurs</t>
  </si>
  <si>
    <t>IMP-USR-04</t>
  </si>
  <si>
    <t>Page gestion utilisateurs (panel admin)</t>
  </si>
  <si>
    <t>users.component.ts</t>
  </si>
  <si>
    <t>IMP-DOC-01</t>
  </si>
  <si>
    <t>Documentation consolidée (199 fichiers, point d'entrée 00-START-HERE.md)</t>
  </si>
  <si>
    <t>docs/</t>
  </si>
  <si>
    <t>Documentation</t>
  </si>
  <si>
    <t>IMP-DOC-02</t>
  </si>
  <si>
    <t>Guide personnalisation overlay</t>
  </si>
  <si>
    <t>CARTOGRAPHIE_OUTILS.md</t>
  </si>
  <si>
    <t>IMP-DOC-03</t>
  </si>
  <si>
    <t>Documentation système sponsors</t>
  </si>
  <si>
    <t>docs/features/</t>
  </si>
  <si>
    <t>IMP-DOC-04</t>
  </si>
  <si>
    <t>Guide correction hotspot Android</t>
  </si>
  <si>
    <t>docs/guides/</t>
  </si>
  <si>
    <t>IMP-DOC-06</t>
  </si>
  <si>
    <t>Guide stabilité WiFi USB</t>
  </si>
  <si>
    <t>WIFI_USB_GUIDE.md</t>
  </si>
  <si>
    <t>IMP-DOC-07</t>
  </si>
  <si>
    <t>Documentation framework SAFe complète</t>
  </si>
  <si>
    <t>docs/safe/</t>
  </si>
  <si>
    <t>Statistiques Produit</t>
  </si>
  <si>
    <t>Features implémentées</t>
  </si>
  <si>
    <t>184</t>
  </si>
  <si>
    <t>Domaines fonctionnels</t>
  </si>
  <si>
    <t>Controllers API</t>
  </si>
  <si>
    <t>38</t>
  </si>
  <si>
    <t>Services métier</t>
  </si>
  <si>
    <t>37</t>
  </si>
  <si>
    <t>Repositories</t>
  </si>
  <si>
    <t>24</t>
  </si>
  <si>
    <t>Versions released</t>
  </si>
  <si>
    <t>30+ (v1.0 → v3.60.0)</t>
  </si>
  <si>
    <t>Tests (total)</t>
  </si>
  <si>
    <t>← Features &amp; US</t>
  </si>
  <si>
    <t>RÉSUMÉ PAR DOMAINE</t>
  </si>
  <si>
    <t>Nombre</t>
  </si>
  <si>
    <t>USER STORIES — 250 US (76 planifiées + 174 livrées)</t>
  </si>
  <si>
    <t>US ID</t>
  </si>
  <si>
    <t>US-01.1.1</t>
  </si>
  <si>
    <t>En tant qu'annonceur, je veux créer un compte et un profil complet afin de pouvoir proposer mes spots publicitaires</t>
  </si>
  <si>
    <t>• Formulaire d'inscription avec validation
• Champs : nom, email, téléphone, secteur d'activité, budget
• Vérification d'email
• Conditions générales à accepter</t>
  </si>
  <si>
    <t>Sponsors &amp; Monétisation</t>
  </si>
  <si>
    <t>Planifié</t>
  </si>
  <si>
    <t>US-01.1.2</t>
  </si>
  <si>
    <t>En tant qu'annonceur, je veux gérer mon profil et mettre à jour mes informations afin de maintenir mes coordonnées à jour</t>
  </si>
  <si>
    <t>• Page de profil modifiable
• Changement de mot de passe
• Préférences de notification
• Suppression de compte (soft delete)</t>
  </si>
  <si>
    <t>US-01.1.3</t>
  </si>
  <si>
    <t>En tant qu'administrateur NEOPRO, je veux valider les profils sponsors afin de garantir la qualité des annonceurs</t>
  </si>
  <si>
    <t>• Liste d'attente des sponsors non vérifiés
• Actions : valider, rejeter (avec raison)
• Notifications au sponsor
• Audit trail des validations</t>
  </si>
  <si>
    <t>US-01.2.1</t>
  </si>
  <si>
    <t>En tant qu'annonceur, je veux uploader une vidéo publicitaire afin de la proposer aux clubs</t>
  </si>
  <si>
    <t>• Interface d'upload drag-and-drop
• Formats acceptés : MP4, WebM
• Taille max : 500 MB
• Durée : 30s à 2min
• Barre de progression de l'upload
• Conversion automatique en HLS</t>
  </si>
  <si>
    <t>US-01.2.2</t>
  </si>
  <si>
    <t>En tant qu'annonceur, je veux ajouter des métadonnées à ma vidéo afin de la rendre découvrable</t>
  </si>
  <si>
    <t>• Champs : titre, description, catégorie, tags
• Logo de la marque
• URL de destination (CTR)
• Durée de validité du spot</t>
  </si>
  <si>
    <t>US-01.2.3</t>
  </si>
  <si>
    <t>En tant qu'administrateur NEOPRO, je veux approuver les vidéos avant diffusion afin de respecter la charte</t>
  </si>
  <si>
    <t>• Interface de modération avec preview vidéo
• Actions : approuver, rejeter (raison)
• Vérification du contenu inadapté
• Historique des approuvations</t>
  </si>
  <si>
    <t>US-01.3.1</t>
  </si>
  <si>
    <t>En tant qu'administrateur NEOPRO, je veux valider les spots avant mise en production afin d'assurer la qualité de contenu</t>
  </si>
  <si>
    <t>• Checklist de validation (format, durée, contenu)
• Preview haute résolution
• Test de lecture sur les différents profils Pi
• Signature numérique de l'approbation</t>
  </si>
  <si>
    <t>US-01.3.2</t>
  </si>
  <si>
    <t>En tant qu'opérateur, je veux consulter les spots approuvés et les sélectionner pour mon club afin de monétiser la TV</t>
  </si>
  <si>
    <t>• Catalogue des spots validés
• Filtres : catégorie, durée, secteur
• Sélection multiple
• Aperçu avant activation</t>
  </si>
  <si>
    <t>US-02.1.1</t>
  </si>
  <si>
    <t>En tant qu'opérateur, je veux que les vidéos publicitaires soient diffusées de manière équitable afin de respecter les contrats sponsors</t>
  </si>
  <si>
    <t>• Algorithme de round-robin basé sur le poids (budget)
• Limite : max 20% du temps d'antenne pour un sponsor
• Respect des plages horaires personnalisées
• Équité sur une fenêtre glissante de 24h</t>
  </si>
  <si>
    <t>US-02.1.2</t>
  </si>
  <si>
    <t>En tant qu'administrateur NEOPRO, je veux monitorer la rotation afin de vérifier l'équité</t>
  </si>
  <si>
    <t>• Dashboard de temps d'antenne par sponsor
• Alertes si déséquilibre &gt; 5%
• Rapport mensuel de conformité
• Ajustement manuel possible</t>
  </si>
  <si>
    <t>US-02.2.1</t>
  </si>
  <si>
    <t>En tant qu'opérateur, je veux configurer la rotation des vidéos différemment par gymnase afin d'adapter à chaque espace</t>
  </si>
  <si>
    <t>• Association clubs/gymnases à des Pi distincts
• Profils de rotation spécifiques par gymnase
• Horaires décalés par zone
• Vue d'ensemble de la rotation globale</t>
  </si>
  <si>
    <t>US-02.2.2</t>
  </si>
  <si>
    <t>En tant qu'administrateur NEOPRO, je veux valider les configurations par gymnase afin d'éviter les conflits</t>
  </si>
  <si>
    <t>• Vérification d'intégrité des configs
• Alertes en cas de chevauchement
• Simulation avant activation
• Historique des configurations</t>
  </si>
  <si>
    <t>US-03.1.1</t>
  </si>
  <si>
    <t>En tant qu'annonceur, je veux voir les métriques de mes vidéos afin d'évaluer le ROI de ma campagne</t>
  </si>
  <si>
    <t>• Nombre d'impressions par vidéo
• Nombre de clubs diffusant mon spot
• Durée moyenne de visionnage
• Graphiques par jour/semaine/mois</t>
  </si>
  <si>
    <t>US-03.1.2</t>
  </si>
  <si>
    <t>En tant qu'annonceur, je veux tracker les clics sur mon URL afin de mesurer la conversion</t>
  </si>
  <si>
    <t>• Nombre de clics par vidéo
• Taux de CTR (%)
• Géolocalisation des clics
• Intégration UTM optionnelle</t>
  </si>
  <si>
    <t>US-03.2.1</t>
  </si>
  <si>
    <t>En tant qu'annonceur, je veux exporter mes rapports en PDF pour les présenter à mon agence afin de prouver le ROI</t>
  </si>
  <si>
    <t>• Export PDF avec logo de la marque
• Résumé exécutif
• Graphiques professionnels
• Date de génération et signature</t>
  </si>
  <si>
    <t>US-03.2.2</t>
  </si>
  <si>
    <t>En tant qu'annonceur, je veux exporter les données en CSV pour les analyser dans Excel afin de faire des analyses détaillées</t>
  </si>
  <si>
    <t>• Export CSV des impressions brutes
• Format UTF-8 avec BOM
• Colonnes : date, club, durée, région
• Tri par colonne</t>
  </si>
  <si>
    <t>US-03.3.1</t>
  </si>
  <si>
    <t>En tant qu'annonceur, je veux voir où ma vidéo est la plus diffusée géographiquement afin d'optimiser mon investissement</t>
  </si>
  <si>
    <t>• Heatmap par région/département
• Intensité basée sur nombre d'impressions
• Filtres : période, sport, type club
• Export de la heatmap</t>
  </si>
  <si>
    <t>US-03.3.2</t>
  </si>
  <si>
    <t>En tant qu'administrateur NEOPRO, je veux analyser la couverture de la flotte afin d'identifier les zones blanches</t>
  </si>
  <si>
    <t>• Heatmap d'uptime par région
• Zones de faible couverture identifiées
• Recommandations d'expansion</t>
  </si>
  <si>
    <t>US-04.1.1</t>
  </si>
  <si>
    <t>En tant qu'opérateur, je veux créer des profils de match prédéfinis pour différents sports afin de gagner du temps lors de la configuration initiale</t>
  </si>
  <si>
    <t>• Interface de création de profils accessibles depuis le dashboard
• Possibilité de sauvegarder les paramètres (résolution, FPS, durée)
• Validation des valeurs de configuration
• Confirmation avant sauvegarde</t>
  </si>
  <si>
    <t>Expérience Match</t>
  </si>
  <si>
    <t>US-04.1.2</t>
  </si>
  <si>
    <t>En tant qu'administrateur NEOPRO, je veux pouvoir modifier les profils prédéfinis globalement afin de standardiser les configurations pour la flotte</t>
  </si>
  <si>
    <t>• Accès admin aux modèles de profils
• Historique des modifications
• Notification aux opérateurs des changements</t>
  </si>
  <si>
    <t>US-04.1.3</t>
  </si>
  <si>
    <t>En tant que bénévole du club, je veux appliquer un profil prédéfini à un match afin de lancer rapidement la retransmission</t>
  </si>
  <si>
    <t>• Boutons de sélection rapide des profils sur la TV
• Affichage du profil appliqué
• Possibilité de revenir en arrière</t>
  </si>
  <si>
    <t>US-04.2.1</t>
  </si>
  <si>
    <t>En tant que bénévole du club, je veux changer les profils de match depuis ma télécommande afin de contrôler l'affichage sans accès au Pi</t>
  </si>
  <si>
    <t>• Boutons dédiés sur la télécommande Socket.IO pour changer de profil
• Confirmation visuelle du changement sur l'écran
• Latence &lt; 500ms
• Feedback audio/visuel du changement</t>
  </si>
  <si>
    <t>US-04.2.2</t>
  </si>
  <si>
    <t>En tant qu'opérateur, je veux limiter les profils accessibles depuis la télécommande afin de prévenir les mauvaises manipulations</t>
  </si>
  <si>
    <t>• Configuration des profils autorisés par club
• Verrouillage des profils non autorisés
• Audit des changements de profil</t>
  </si>
  <si>
    <t>US-05.1.1</t>
  </si>
  <si>
    <t>En tant qu'annonceur, je veux utiliser des templates motion design prédéfinis afin de créer rapidement des vidéos professionnelles</t>
  </si>
  <si>
    <t>• Bibliothèque de 20+ templates (intro, outro, transition)
• Catégories : sport, retail, services, F&amp;B
• Personnalisation : couleurs, texte, logo
• Export en MP4 HQ</t>
  </si>
  <si>
    <t>US-05.1.2</t>
  </si>
  <si>
    <t>En tant qu'agence, je veux créer et gérer mes templates custom afin de maintenir la cohérence de marque de mes clients</t>
  </si>
  <si>
    <t>• Création de templates (upload source)
• Versioning des templates
• Partage entre collaborateurs
• Branding guidelines par template</t>
  </si>
  <si>
    <t>US-05.2.1</t>
  </si>
  <si>
    <t>En tant qu'annonceur, je veux uploader des animations Lottie ou MP4 personnalisées afin d'avoir une totale liberté créative</t>
  </si>
  <si>
    <t>• Support des fichiers Lottie (.json)
• Support MP4 avec codec H.264
• Taille max 100 MB
• Validation de la structure du fichier
• Preview avant livraison</t>
  </si>
  <si>
    <t>US-05.2.2</t>
  </si>
  <si>
    <t>En tant que développeur, je veux supporter les animations Lottie sur les Pi afin d'enrichir les capacités créatives</t>
  </si>
  <si>
    <t>• Intégration lottie-web
• Optimisation de la performance
• Fallback si format non supporté
• Tests de rendu sur différents Pi</t>
  </si>
  <si>
    <t>US-06.1.1</t>
  </si>
  <si>
    <t>En tant qu'opérateur, je veux que mon Raspberry Pi se configure automatiquement afin de réduire le temps d'installation</t>
  </si>
  <si>
    <t>• Image Raspbian pré-configurée
• Téléchargement auto de l'agent Neopro
• Configuration réseau automatique (WiFi/Ethernet)
• Pairing avec le dashboard via QR code
• Tests de connectivité avant fin du provisioning</t>
  </si>
  <si>
    <t>Onboarding &amp; Déploiement</t>
  </si>
  <si>
    <t>US-06.1.2</t>
  </si>
  <si>
    <t>En tant qu'administrateur NEOPRO, je veux générer des codes de pairing uniques afin de sécuriser l'onboarding</t>
  </si>
  <si>
    <t>• Génération de codes aléatoires (6 caractères)
• Expiration après 24h ou après utilisation
• Audit trail des pairings
• Blocage après 3 tentatives échouées</t>
  </si>
  <si>
    <t>US-06.2.1</t>
  </si>
  <si>
    <t>En tant qu'opérateur, je veux suivre un wizard pour configurer mon club afin de démarrer rapidement sans formation</t>
  </si>
  <si>
    <t>• Étapes : infos club, sélection spots, configuration TV, test
• Tooltips d'aide à chaque étape
• Sauvegarde des brouillons
• Envoi de résumé par email</t>
  </si>
  <si>
    <t>US-06.2.2</t>
  </si>
  <si>
    <t>En tant qu'administrateur NEOPRO, je veux tracker les clubs incomplets afin de relancer les opérateurs</t>
  </si>
  <si>
    <t>• Statut : setup en cours, complet, inactif
• Rappels automatiques après 7 jours
• Rapport de configuration par région</t>
  </si>
  <si>
    <t>US-07.1.1</t>
  </si>
  <si>
    <t>En tant que bénévole du club, je veux que le Raspberry Pi garde en cache les vidéos et contenus pendant 48h afin de pouvoir les diffuser même si la connexion WiFi est coupée</t>
  </si>
  <si>
    <t>• Cache sur le disque local du Pi avec durée de 48h
• Gestion intelligente de l'espace disque (suppression FIFO)
• Synchronisation automatique lors du retour de connexion
• Priorité à la mise en cache des vidéos les plus regardées</t>
  </si>
  <si>
    <t>Résilience &amp; Edge</t>
  </si>
  <si>
    <t>US-07.1.2</t>
  </si>
  <si>
    <t>En tant qu'opérateur, je veux monitorer l'état du cache afin de vérifier la continuité de service</t>
  </si>
  <si>
    <t>• Endpoint API pour consulter l'état du cache
• Dashboard affichant le statut du cache par Pi
• Alertes si le cache est plein ou corrompu</t>
  </si>
  <si>
    <t>US-07.1.3</t>
  </si>
  <si>
    <t>En tant que développeur, je veux implémenter un mécanisme de cache robuste afin d'assurer la résilience hors ligne</t>
  </si>
  <si>
    <t>• Compression des contenus en cache
• Vérification d'intégrité des fichiers cachés
• Logs de cache-hit/cache-miss
• Tests unitaires du cache</t>
  </si>
  <si>
    <t>US-07.2.1</t>
  </si>
  <si>
    <t>En tant qu'opérateur, je veux visualiser la force du signal WiFi de chaque Pi afin de diagnostiquer les problèmes de connectivité</t>
  </si>
  <si>
    <t>• Mesure en dBm du signal WiFi toutes les 30 secondes
• Stockage des mesures sur 7 jours
• Affichage graphique (courbe) sur le dashboard
• Seuils d'alerte (&lt; -70 dBm = warning, &lt; -80 dBm = critical)</t>
  </si>
  <si>
    <t>US-07.2.2</t>
  </si>
  <si>
    <t>En tant que développeur, je veux instrumenter le daemon Pi pour rapporter les métriques WiFi afin de faciliter le diagnostic</t>
  </si>
  <si>
    <t>• Script de monitoring WiFi sur le Raspberry Pi
• Endpoint d'exposition des métriques (Prometheus)
• Tests de robustesse du monitoring
• Documentation du setup</t>
  </si>
  <si>
    <t>US-07.2.3</t>
  </si>
  <si>
    <t>En tant qu'administrateur NEOPRO, je veux recevoir des alertes si un Pi perd sa connexion afin d'intervenir rapidement</t>
  </si>
  <si>
    <t>• Règles d'alertes basées sur le signal WiFi
• Notifications push/email si signal &lt; seuil
• Historique des incidents</t>
  </si>
  <si>
    <t>US-07.3.1</t>
  </si>
  <si>
    <t>En tant qu'opérateur, je veux utiliser une clé USB WiFi externe afin d'améliorer la réception dans les zones difficiles</t>
  </si>
  <si>
    <t>• Support des clés USB (RTL8812AU, RTL8821AU)
• Configuration automatique via firmware
• Fallback sur WiFi intégré en cas d'échec
• Monitoring de la clé USB (température, signal)</t>
  </si>
  <si>
    <t>US-07.3.2</t>
  </si>
  <si>
    <t>En tant qu'administrateur NEOPRO, je veux gérer le parc de clés USB afin de supporter l'expansion</t>
  </si>
  <si>
    <t>• Inventaire des clés par site
• Alertes de dysfonctionnement
• Recommandations de remplacement
• Documentation de setup</t>
  </si>
  <si>
    <t>US-08.1.1</t>
  </si>
  <si>
    <t>En tant qu'opérateur, je veux créer des règles d'alertes prédictives afin d'anticiper les problèmes de performance</t>
  </si>
  <si>
    <t>• Interface de création de règles avec conditions logiques
• Métriques disponibles : CPU, mémoire, uptime, signal WiFi
• Actions d'alerte : email, SMS, dashboard
• Simulation des règles avant activation</t>
  </si>
  <si>
    <t>Monitoring &amp; Infrastructure</t>
  </si>
  <si>
    <t>US-08.1.2</t>
  </si>
  <si>
    <t>En tant qu'administrateur NEOPRO, je veux automatiser la escalade des alertes afin de ne pas surcharger les opérateurs</t>
  </si>
  <si>
    <t>• Escalade progressives (warning → critical)
• Silence temporaire des alertes après action
• Agrégation des alertes similaires
• Rapports de synthèse hebdomadaires</t>
  </si>
  <si>
    <t>US-08.2.1</t>
  </si>
  <si>
    <t>En tant qu'opérateur, je veux visualiser les tendances de performance de mes clubs afin d'identifier les problèmes récurrents</t>
  </si>
  <si>
    <t>• Graphiques multi-axes : CPU, mémoire, uptime par club
• Filtres par période (7j, 30j, 90j)
• Export des tendances en CSV
• Comparaison inter-clubs (peer benchmarking)</t>
  </si>
  <si>
    <t>US-08.2.2</t>
  </si>
  <si>
    <t>En tant qu'administrateur NEOPRO, je veux analyser les tendances de la flotte afin d'optimiser les capacités</t>
  </si>
  <si>
    <t>• Dashboard agrégé pour tous les sites
• Identification des Pi surloadés ou sous-utilisés
• Recommandations d'optimisation
• Accès en temps réel</t>
  </si>
  <si>
    <t>US-08.2.3</t>
  </si>
  <si>
    <t>En tant que développeur, je veux stocker les métriques historiques afin de supporter l'analyse des tendances</t>
  </si>
  <si>
    <t>• Retention des métriques sur 365 jours
• Requêtes d'agrégation performantes
• Index sur les colonnes temporelles
• Archivage automatique</t>
  </si>
  <si>
    <t>US-09.1.1</t>
  </si>
  <si>
    <t>En tant que développeur, je veux refactoriser les controllers API afin de respecter le pattern repository et améliorer la testabilité</t>
  </si>
  <si>
    <t>• Création de repositories pour chaque entité (Site, Video, User, etc.)
• Remplacement des query() directs par les repositories
• Tests unitaires des repositories
• Documentation du pattern dans le README</t>
  </si>
  <si>
    <t>Architecture &amp; Qualité</t>
  </si>
  <si>
    <t>US-09.1.2</t>
  </si>
  <si>
    <t>En tant que développeur, je veux ajouter une règle ESLint pour bloquer les query() directs afin d'éviter les régressions</t>
  </si>
  <si>
    <t>• Règle ESLint custom qui bloque query() hors repositories
• CI/CD vérifie la règle
• Message d'erreur clair pour les développeurs</t>
  </si>
  <si>
    <t>US-09.2.1</t>
  </si>
  <si>
    <t>En tant qu'administrateur NEOPRO, je veux un audit complet de sécurité afin de valider la conformité OWASP</t>
  </si>
  <si>
    <t>• Test OWASP Top 10 (injection, XSS, CSRF, etc.)
• Scan des dépendances (npm audit)
• Rapport avec recommandations
• Plan d'action pour les vulnérabilités</t>
  </si>
  <si>
    <t>US-09.2.2</t>
  </si>
  <si>
    <t>En tant que développeur, je veux optimiser les performances de l'API afin de réduire la latence</t>
  </si>
  <si>
    <t>• Profiling des requêtes les plus lentes
• Ajout d'indexes manquants
• Optimisation des joins
• Benchmarks avant/après avec résultats documentés</t>
  </si>
  <si>
    <t>US-10.1.1</t>
  </si>
  <si>
    <t>En tant qu'administrateur NEOPRO, je veux visualiser la géolocalisation de tous les clubs sur une carte afin de gérer la flotte spatialement</t>
  </si>
  <si>
    <t>• Carte Leaflet/OpenStreetMap
• Marqueurs par site avec status (online/offline)
• Clustering pour les zones denses
• Info popup : nom, ville, nb spectateurs</t>
  </si>
  <si>
    <t>US-10.1.2</t>
  </si>
  <si>
    <t>En tant qu'opérateur régional, je veux filtrer la carte par région afin de gérer mes clubs</t>
  </si>
  <si>
    <t>• Filtres : région, sport, statut
• Zoom/pan intuitif
• Export de la carte en PNG
• Intégration avec les alertes</t>
  </si>
  <si>
    <t>US-10.2.1</t>
  </si>
  <si>
    <t>En tant qu'administrateur NEOPRO, je veux voir les métriques agrégées de toute la flotte afin d'avoir une vue d'ensemble de la santé du système</t>
  </si>
  <si>
    <t>• Dashboard avec KPIs : uptime global, nb vidéos diffusées, bande passante
• SLA : 99% uptime
• Comparaison par région/opérateur
• Export mensuel automatique</t>
  </si>
  <si>
    <t>US-10.2.2</t>
  </si>
  <si>
    <t>En tant qu'opérateur, je veux comparer mes clubs aux moyennes de la flotte afin d'identifier les opportunités d'amélioration</t>
  </si>
  <si>
    <t>• Benchmarking entre clubs similaires
• Ranking par performance
• Recommandations basées sur best practices
• Alertes si performance &lt; moyenne - 20%</t>
  </si>
  <si>
    <t>US-11.1.1</t>
  </si>
  <si>
    <t>En tant qu'agence, je veux gérer plusieurs annonceurs régionaux depuis un portail afin de centraliser la gestion</t>
  </si>
  <si>
    <t>• Vue d'ensemble des annonceurs affiliés
• Gestion des utilisateurs sous-agence
• Approbation des budgets
• Rapports consolidés par annonceur</t>
  </si>
  <si>
    <t>US-11.1.2</t>
  </si>
  <si>
    <t>En tant qu'administrateur NEOPRO, je veux supporter le modèle d'agence afin de créer un channel indirect</t>
  </si>
  <si>
    <t>• Création de comptes agence avec commissions
• Reporting agence/annonceur séparé
• API pour les agences premium
• Support du modèle SaaS multi-tenant</t>
  </si>
  <si>
    <t>US-11.2.1</t>
  </si>
  <si>
    <t>En tant qu'agence, je veux générer des rapports consolidés pour tous mes annonceurs afin de justifier les investissements</t>
  </si>
  <si>
    <t>• Agrégation des données par annonceur
• Total impressions, clics, ROI
• Comparaison période précédente
• Export PDF professionnel</t>
  </si>
  <si>
    <t>US-11.2.2</t>
  </si>
  <si>
    <t>En tant qu'administrateur NEOPRO, je veux analyser les performances par agence afin d'optimiser le channel</t>
  </si>
  <si>
    <t>• Dashboard de synthèse par agence
• KPIs : CA, nb annonceurs, uptime
• Benchmarking inter-agences
• Recommandations de croissance</t>
  </si>
  <si>
    <t>US-12.1.1</t>
  </si>
  <si>
    <t>En tant que bénévole du club, je veux synchroniser plusieurs écrans TV afin de diffuser le même contenu en parfaite harmonie</t>
  </si>
  <si>
    <t>• Synchronisation audio/vidéo sub-frame
• Support de 2 à 10 écrans
• Configuration via QR code maître
• Test de sync : latence &lt; 100ms
• Fallback si sync échoue (lecture locale)</t>
  </si>
  <si>
    <t>US-12.1.2</t>
  </si>
  <si>
    <t>En tant qu'opérateur, je veux configurer et monitorer les groupes d'écrans synchronisés afin d'assurer la cohésion</t>
  </si>
  <si>
    <t>• Interface de groupage des Pi
• Métriques de sync : décalage détecté
• Alertes de désync
• Historique des changements de groupe</t>
  </si>
  <si>
    <t>US-13.1.1</t>
  </si>
  <si>
    <t>En tant qu'opérateur, je veux personnaliser l'apparence de la TV avec les couleurs et logo du club afin de créer une expérience de marque</t>
  </si>
  <si>
    <t>• Upload du logo du club
• Palette de couleurs personnalisée
• Choix de layout (horizontal/vertical)
• Prévisualisation en temps réel
• Sauvegarde de thèmes favoris</t>
  </si>
  <si>
    <t>US-13.1.2</t>
  </si>
  <si>
    <t>En tant qu'administrateur NEOPRO, je veux gérer les templates de thèmes afin de garantir une expérience cohérente</t>
  </si>
  <si>
    <t>• Création de thèmes maîtres par sport
• Guidelines de branding
• Validation du contraste/lisibilité
• Versioning des thèmes</t>
  </si>
  <si>
    <t>US-14.1.1</t>
  </si>
  <si>
    <t>En tant qu'opérateur, je veux contribuer à un fonds de solidarité afin de soutenir les petits clubs en difficulté</t>
  </si>
  <si>
    <t>• Pourcentage de revenus pub à reverser
• Configuration flexible du taux
• Transparent : voir où va l'argent
• Rapport mensuel de contribution</t>
  </si>
  <si>
    <t>US-14.1.2</t>
  </si>
  <si>
    <t>En tant qu'administrateur NEOPRO, je veux gérer le fonds de solidarité afin d'aider les clubs en difficulté</t>
  </si>
  <si>
    <t>• Interface d'allocation du fonds
• Critères d'éligibilité des bénéficiaires
• Approbation des dossiers
• Audit trail des dépenses</t>
  </si>
  <si>
    <t>US-15.1.1</t>
  </si>
  <si>
    <t>En tant qu'opérateur, je veux importer automatiquement les calendriers des fédérations afin de synchroniser les matchs</t>
  </si>
  <si>
    <t>• Intégration API FFB (basket), FFH (handball), etc.
• Synchronisation quotidienne
• Mapping automatique des compétitions
• Alertes de conflit de calendrier
• Historique des imports</t>
  </si>
  <si>
    <t>US-15.1.2</t>
  </si>
  <si>
    <t>En tant qu'administrateur NEOPRO, je veux gérer les connecteurs de fédération afin de supporter de nouveaux sports</t>
  </si>
  <si>
    <t>• Création de connecteurs pour nouvelles APIs
• Tests d'intégrité des données
• Documentation du processus
• Support multi-fédérations par club</t>
  </si>
  <si>
    <t>US-16.1.1</t>
  </si>
  <si>
    <t>En tant qu'opérateur, je veux recevoir un rapport mensuel automatique afin de suivre la performance sans action manuelle</t>
  </si>
  <si>
    <t>• Email automatique le 1er du mois
• Contenu : uptime, vidéos diffusées, revenus
• Attachement PDF formaté
• Lien pour accéder au dashboard détaillé</t>
  </si>
  <si>
    <t>US-16.1.2</t>
  </si>
  <si>
    <t>En tant qu'annonceur, je veux recevoir un rapport mensuel de mes vidéos afin de suivre mon ROI</t>
  </si>
  <si>
    <t>• Email personnalisé avec logo
• KPIs : impressions, clics, CTR
• Comparaison mois précédent
• Recommandations d'optimisation</t>
  </si>
  <si>
    <t>US-17.1.1</t>
  </si>
  <si>
    <t>En tant qu'annonceur, je veux tester deux versions de ma vidéo afin d'optimiser le CTR</t>
  </si>
  <si>
    <t>• Interface de création d'A/B test
• Répartition 50/50 du trafic
• Durée min du test : 7 jours
• Dashboard de statistiques en temps réel
• Test statistique (chi-2)
• Recommandation de variante gagnante</t>
  </si>
  <si>
    <t>US-17.1.2</t>
  </si>
  <si>
    <t>En tant qu'administrateur NEOPRO, je veux auditer les A/B tests afin de respecter les normes de qualité</t>
  </si>
  <si>
    <t>• Dashboard d'ensemble des tests actifs
• Détection de tests biaisés
• Historique des résultats
• Recommandations d'optimisation</t>
  </si>
  <si>
    <t>US-18.1.1</t>
  </si>
  <si>
    <t>En tant qu'opérateur, je veux importer les données de billetterie pour connaître l'audience réelle afin de facturer plus précisément</t>
  </si>
  <si>
    <t>• Import de fichiers de billetterie (CSV, API)
• Deduplication des spectateurs
• Synchronisation avec les matchs
• Rapports d'audience détaillés
• Archivage des données</t>
  </si>
  <si>
    <t>US-18.1.2</t>
  </si>
  <si>
    <t>En tant qu'annonceur, je veux connaître l'audience réelle de mes vidéos afin d'ajuster mon tarif</t>
  </si>
  <si>
    <t>• Impression par spectateur (pas par heure)
• Facteurs de confiance (billetterie confirmée)
• Données historiques exploitables
• Estimations pour matchs futurs</t>
  </si>
  <si>
    <t>US-19.1.1</t>
  </si>
  <si>
    <t>En tant qu'opérateur, je veux compter automatiquement les spectateurs avec une caméra afin de capturer l'audience en temps réel</t>
  </si>
  <si>
    <t>• Intégration caméra USB ou IP
• Détection de personnes par IA (TensorFlow)
• Calibration par gymnase (FOV)
• Comptage continu avec buffer local
• Upload batch toutes les heures</t>
  </si>
  <si>
    <t>US-19.1.2</t>
  </si>
  <si>
    <t>En tant qu'administrateur NEOPRO, je veux valider et optimiser le comptage afin d'assurer la qualité</t>
  </si>
  <si>
    <t>• Dashboard de validation des comptages
• Détection d'anomalies (pics aberrants)
• Calibrage fin par environnement
• Rapports de précision</t>
  </si>
  <si>
    <t>US-20.1.1</t>
  </si>
  <si>
    <t>En tant qu'administrateur NEOPRO, je veux prédire les défaillances Pi afin d'intervenir avant la panne</t>
  </si>
  <si>
    <t>• Modèle ML (Random Forest) sur l'historique
• Features : CPU, mémoire, temp, signal WiFi
• Prédiction 24-48h en avance
• Alertes proactives
• Précision min 80%</t>
  </si>
  <si>
    <t>US-20.1.2</t>
  </si>
  <si>
    <t>En tant qu'annonceur, je veux prédire l'engagement de ma vidéo afin d'optimiser le budget</t>
  </si>
  <si>
    <t>• Prédiction CTR basée sur historique
• Recommandations de créatifs performants
• Estimation du ROI par club
• A/B test suggestions</t>
  </si>
  <si>
    <t>US-21.1.1</t>
  </si>
  <si>
    <t>En tant que partenaire intégré, je veux accéder à l'API Neopro via OAuth 2.0 afin d'intégrer les données dans ma plateforme</t>
  </si>
  <si>
    <t>• Implémentation OAuth 2.0 Authorization Code
• Scopes : read:sites, read:metrics, write:videos
• Rate limiting par client
• Documentation Swagger
• Sandbox de test</t>
  </si>
  <si>
    <t>US-21.1.2</t>
  </si>
  <si>
    <t>En tant qu'administrateur NEOPRO, je veux gérer les tokens de partenaires afin de sécuriser les accès</t>
  </si>
  <si>
    <t>• Interface de création/révocation de tokens
• Audit trail des appels API
• Monitoring des quotas
• Alertes d'usage anormal</t>
  </si>
  <si>
    <t>US-IMP-ADM-01</t>
  </si>
  <si>
    <t>HIST-ADM</t>
  </si>
  <si>
    <t>En tant qu'admin NEOPRO, je veux un système de jobs admin afin de planifier les tâches de maintenance</t>
  </si>
  <si>
    <t>Livré</t>
  </si>
  <si>
    <t>Pré-PI</t>
  </si>
  <si>
    <t>Synchronisation fiable et atomique | Récupération en cas d'erreur réseau</t>
  </si>
  <si>
    <t>Administration &amp; Infrastructure</t>
  </si>
  <si>
    <t>US-IMP-ADM-02</t>
  </si>
  <si>
    <t>En tant qu'admin NEOPRO, je veux une télécommande cloud pour les sites afin de contrôler la TV à distance</t>
  </si>
  <si>
    <t>Fonctionnalité testée sur matériel réel | Performance acceptable</t>
  </si>
  <si>
    <t>US-IMP-ADM-03</t>
  </si>
  <si>
    <t>En tant qu'admin NEOPRO, je veux créer des groupes de sites afin de gérer les déploiements par groupe</t>
  </si>
  <si>
    <t>Feature implémentée et testée | Documentation fournie</t>
  </si>
  <si>
    <t>US-IMP-ADM-04</t>
  </si>
  <si>
    <t>En tant qu'admin NEOPRO, je veux envoyer des emails transactionnels afin de communiquer avec les utilisateurs</t>
  </si>
  <si>
    <t>Alertes détectées et envoyées | Notifications reçues correctement</t>
  </si>
  <si>
    <t>US-IMP-ADM-05</t>
  </si>
  <si>
    <t>En tant qu'admin NEOPRO, je veux un gestionnaire de mémoire optimisé afin d'éviter les fuites</t>
  </si>
  <si>
    <t>US-IMP-ADM-06</t>
  </si>
  <si>
    <t>En tant qu'admin NEOPRO, je veux utiliser le cache mémoire pour les opérations fréquentes afin d'améliorer les performances</t>
  </si>
  <si>
    <t>US-IMP-ADM-07</t>
  </si>
  <si>
    <t>En tant qu'admin NEOPRO, je veux nettoyer automatiquement la mémoire GPU afin d'éviter les fuites</t>
  </si>
  <si>
    <t>US-IMP-ADM-08</t>
  </si>
  <si>
    <t>En tant qu'admin NEOPRO, je veux que chaque utilisateur n'accède qu'aux données de ses clubs afin d'isoler complètement les tenants en base PostgreSQL</t>
  </si>
  <si>
    <t>US-IMP-ADM-10</t>
  </si>
  <si>
    <t>En tant qu'admin NEOPRO, je veux une documentation OpenAPI Swagger afin de faciliter l'intégration de l'API</t>
  </si>
  <si>
    <t>US-IMP-ADM-11</t>
  </si>
  <si>
    <t>En tant qu'admin NEOPRO, je veux une vue cartographique des sites afin de visualiser leur répartition</t>
  </si>
  <si>
    <t>US-IMP-ADM-12</t>
  </si>
  <si>
    <t>En tant qu'admin NEOPRO, je veux obtenir un diagnostic complet de la santé d'un Pi en format JSON afin de diagnostiquer rapidement</t>
  </si>
  <si>
    <t>US-IMP-ADM-13</t>
  </si>
  <si>
    <t>US-IMP-ADM-14</t>
  </si>
  <si>
    <t>En tant qu'admin NEOPRO, je veux afficher le score en direct avec overlay et popup afin de communiquer en temps réel aux spectateurs</t>
  </si>
  <si>
    <t>US-IMP-ADM-15</t>
  </si>
  <si>
    <t>US-IMP-ADM-16</t>
  </si>
  <si>
    <t>En tant qu'admin NEOPRO, je veux capturer l'écran de la TV afin de vérifier le contenu affiché</t>
  </si>
  <si>
    <t>US-IMP-ADM-17</t>
  </si>
  <si>
    <t>En tant qu'admin NEOPRO, je veux gérer les profils dans le détail du site afin de personnaliser les configurations</t>
  </si>
  <si>
    <t>US-IMP-ADM-18</t>
  </si>
  <si>
    <t>En tant qu'admin NEOPRO, je veux une modale UX pour la suppression afin de prévenir les suppressions accidentelles</t>
  </si>
  <si>
    <t>US-IMP-ADM-19</t>
  </si>
  <si>
    <t>Vidéos traitées et déployées | Métadonnées correctement stockées</t>
  </si>
  <si>
    <t>US-IMP-ADM-20</t>
  </si>
  <si>
    <t>En tant qu'admin NEOPRO, je veux planifier des tâches cron afin d'automatiser les opérations récurrentes</t>
  </si>
  <si>
    <t>US-IMP-ADM-21</t>
  </si>
  <si>
    <t>En tant qu'admin NEOPRO, je veux limiter les requêtes analytics afin de protéger les ressources</t>
  </si>
  <si>
    <t>Données agrégées correctement | Rapports générés et exportables</t>
  </si>
  <si>
    <t>US-IMP-ADM-22</t>
  </si>
  <si>
    <t>En tant qu'admin NEOPRO, je veux que les versions des sous-paquets se synchronisent automatiquement afin de maintenir la cohérence</t>
  </si>
  <si>
    <t>US-IMP-ADM-23</t>
  </si>
  <si>
    <t>En tant qu'admin NEOPRO, je veux accéder à un shell distant des Pi afin de debugger les problèmes</t>
  </si>
  <si>
    <t>US-IMP-ADM-24</t>
  </si>
  <si>
    <t>En tant qu'admin NEOPRO, je veux un terminal distant afin de exécuter des commandes sur les Pi</t>
  </si>
  <si>
    <t>US-IMP-ANA-01</t>
  </si>
  <si>
    <t>HIST-ANA</t>
  </si>
  <si>
    <t>En tant qu'admin NEOPRO, je veux accéder aux analytics détaillées de mon club afin d'analyser les performances et l'audience</t>
  </si>
  <si>
    <t>US-IMP-ANA-02</t>
  </si>
  <si>
    <t>En tant qu'admin NEOPRO, je veux analytics annonceurs (impressions par gymnase/période) afin d'améliorer la fonctionnalité du système</t>
  </si>
  <si>
    <t>US-IMP-ANA-03</t>
  </si>
  <si>
    <t>En tant qu'admin NEOPRO, je veux générer des rapports PDF complets afin de documenter les performances</t>
  </si>
  <si>
    <t>US-IMP-ANA-04</t>
  </si>
  <si>
    <t>En tant qu'admin NEOPRO, je veux recevoir des rapports mensuels automatisés afin de suivre l'évolution</t>
  </si>
  <si>
    <t>US-IMP-ANA-06</t>
  </si>
  <si>
    <t>En tant qu'admin NEOPRO, je veux comparer mon club avec d'autres clubs anonymisés afin de contextualiser mes performances</t>
  </si>
  <si>
    <t>US-IMP-ANA-07</t>
  </si>
  <si>
    <t>En tant qu'admin NEOPRO, je veux exposer les métriques Prometheus afin de monitorer les performances du système</t>
  </si>
  <si>
    <t>US-IMP-ANA-08</t>
  </si>
  <si>
    <t>US-IMP-ANA-09</t>
  </si>
  <si>
    <t>En tant qu'admin NEOPRO, je veux exporter les métriques de pitch-deck afin de présenter la traction du produit</t>
  </si>
  <si>
    <t>US-IMP-ANA-10</t>
  </si>
  <si>
    <t>Overlay affiché correctement sur la TV | Personnalisable depuis le dashboard</t>
  </si>
  <si>
    <t>US-IMP-ANA-11</t>
  </si>
  <si>
    <t>En tant qu'admin NEOPRO, je veux accéder aux analytics P6 avec benchmark, CPI et décomposition match PDF afin d'analyser en profondeur</t>
  </si>
  <si>
    <t>US-IMP-ANA-12</t>
  </si>
  <si>
    <t>En tant qu'admin NEOPRO, je veux un dashboard des métriques de traction afin de suivre la croissance du produit</t>
  </si>
  <si>
    <t>US-IMP-ANA-13</t>
  </si>
  <si>
    <t>En tant qu'admin NEOPRO, je veux détecter le statut TV via HDMI-CEC afin de savoir si le dispositif est actif</t>
  </si>
  <si>
    <t>US-IMP-ANA-14</t>
  </si>
  <si>
    <t>En tant qu'admin NEOPRO, je veux un dashboard de santé flotte afin de monitorer l'état de tous les sites</t>
  </si>
  <si>
    <t>US-IMP-ANA-15</t>
  </si>
  <si>
    <t>En tant qu'admin NEOPRO, je veux un dashboard temps réel avec export Excel afin d'analyser les données en détail</t>
  </si>
  <si>
    <t>US-IMP-ANA-16</t>
  </si>
  <si>
    <t>En tant qu'admin NEOPRO, je veux navigation par onglets sur toutes les pages analytics afin d'améliorer la fonctionnalité du système</t>
  </si>
  <si>
    <t>US-IMP-ANA-17</t>
  </si>
  <si>
    <t>En tant qu'admin NEOPRO, je veux accéder aux analytics, branding et liens magiques pour les sponsors afin de maximiser le ROI</t>
  </si>
  <si>
    <t>US-IMP-ANA-18</t>
  </si>
  <si>
    <t>En tant qu'admin NEOPRO, je veux rapports pdf sponsors professionnels (chart.js) afin d'améliorer la fonctionnalité du système</t>
  </si>
  <si>
    <t>US-IMP-SEC-01</t>
  </si>
  <si>
    <t>HIST-SEC</t>
  </si>
  <si>
    <t>En tant qu'admin NEOPRO, je veux que l'authentification utilise des JWT HttpOnly cookies afin de sécuriser les sessions sans exposer les tokens côté client</t>
  </si>
  <si>
    <t>Authentification sécurisée et fonctionnelle | Tokens/cookies correctement gérés</t>
  </si>
  <si>
    <t>US-IMP-SEC-02</t>
  </si>
  <si>
    <t>En tant qu'admin NEOPRO, je veux activer l'authentification MFA/2FA via TOTP afin de renforcer la sécurité des comptes sensibles</t>
  </si>
  <si>
    <t>US-IMP-SEC-03</t>
  </si>
  <si>
    <t>En tant qu'admin NEOPRO, je veux réinitialiser mon mot de passe via un lien de sécurité valide 24h afin de reprendre accès à mon compte</t>
  </si>
  <si>
    <t>US-IMP-SEC-04</t>
  </si>
  <si>
    <t>En tant qu'admin NEOPRO, je veux que toutes les actions sensibles soient journalisées avec audit trail complet afin de maintenir la conformité GDPR</t>
  </si>
  <si>
    <t>US-IMP-SEC-05</t>
  </si>
  <si>
    <t>US-IMP-SEC-06</t>
  </si>
  <si>
    <t>En tant qu'admin NEOPRO, je veux que les requêtes cross-origin soient restreintes en production afin de prévenir les attaques CSRF</t>
  </si>
  <si>
    <t>US-IMP-SEC-07</t>
  </si>
  <si>
    <t>En tant qu'admin NEOPRO, je veux auth admin raspberry (cookies session + mot de passe initial) afin d'améliorer la fonctionnalité du système</t>
  </si>
  <si>
    <t>US-IMP-SEC-08</t>
  </si>
  <si>
    <t>En tant qu'admin NEOPRO, je veux supprimer tous les identifiants en dur du code afin de sécuriser les variables d'environnement</t>
  </si>
  <si>
    <t>US-IMP-SEC-09</t>
  </si>
  <si>
    <t>En tant qu'admin NEOPRO, je veux que les utilisateurs puissent demander l'suppression de leurs données personnelles afin de respecter le droit à l'oubli GDPR</t>
  </si>
  <si>
    <t>US-IMP-SEC-10</t>
  </si>
  <si>
    <t>En tant qu'admin NEOPRO, je veux que les sauvegardes soient chiffrées avec AES-256-GCM afin de protéger les données sensibles au repos</t>
  </si>
  <si>
    <t>US-IMP-SEC-11</t>
  </si>
  <si>
    <t>En tant qu'admin NEOPRO, je veux que les en-têtes HTTP de sécurité (CSP, X-Frame-Options) soient appliqués afin de prévenir les injections et clickjacking</t>
  </si>
  <si>
    <t>US-IMP-SEC-12</t>
  </si>
  <si>
    <t>US-IMP-SEC-13</t>
  </si>
  <si>
    <t>En tant qu'admin NEOPRO, je veux que les CGU, CGV et Politique de confidentialité soient accessibles afin de respecter les obligations légales</t>
  </si>
  <si>
    <t>US-IMP-DOC-01</t>
  </si>
  <si>
    <t>HIST-DOC</t>
  </si>
  <si>
    <t>En tant qu'développeur, je veux accéder à une documentation consolidée et à jour afin de comprendre le système</t>
  </si>
  <si>
    <t>Documentation &amp; Qualité</t>
  </si>
  <si>
    <t>US-IMP-DOC-02</t>
  </si>
  <si>
    <t>En tant qu'développeur, je veux personnaliser les overlays depuis le dashboard central afin d'adapter l'apparence à chaque club</t>
  </si>
  <si>
    <t>US-IMP-DOC-03</t>
  </si>
  <si>
    <t>US-IMP-DOC-04</t>
  </si>
  <si>
    <t>En tant qu'développeur, je veux afficher l'état de la licence et l'indicateur REC dans la télécommande afin de suivre l'état</t>
  </si>
  <si>
    <t>US-IMP-DOC-06</t>
  </si>
  <si>
    <t>En tant qu'développeur, je veux stabiliser le WiFi USB sur 4 couches afin d'améliorer la fiabilité</t>
  </si>
  <si>
    <t>US-IMP-DOC-07</t>
  </si>
  <si>
    <t>US-IMP-DEP-01</t>
  </si>
  <si>
    <t>HIST-DEP</t>
  </si>
  <si>
    <t>En tant qu'admin NEOPRO, je veux que le déploiement vidéo se réessaye automatiquement en cas d'échec afin d'assurer la fiabilité</t>
  </si>
  <si>
    <t>US-IMP-DEP-02</t>
  </si>
  <si>
    <t>En tant qu'admin NEOPRO, je veux orchestrer le déploiement de vidéos sur plusieurs sites simultanément afin d'optimiser les mises à jour</t>
  </si>
  <si>
    <t>Déploiement orchestré et fiable | Rollback automatique en cas d'erreur</t>
  </si>
  <si>
    <t>US-IMP-DEP-04</t>
  </si>
  <si>
    <t>En tant qu'admin NEOPRO, je veux planifier et déployer les mises à jour OTA afin de maintenir les Pi à jour sans interruption</t>
  </si>
  <si>
    <t>US-IMP-DEP-05</t>
  </si>
  <si>
    <t>En tant qu'admin NEOPRO, je veux mettre en file d'attente les commandes pour les Pi hors-ligne afin qu'elles s'exécutent à la reconnexion</t>
  </si>
  <si>
    <t>US-IMP-DEP-06</t>
  </si>
  <si>
    <t>En tant qu'admin NEOPRO, je veux planifier les déploiements à une date/heure spécifique afin de contrôler le timing</t>
  </si>
  <si>
    <t>US-IMP-DEP-07</t>
  </si>
  <si>
    <t>En tant qu'admin NEOPRO, je veux une file de déploiement centralisée afin de gérer l'ordre des déploiements vidéo</t>
  </si>
  <si>
    <t>US-IMP-DEP-08</t>
  </si>
  <si>
    <t>US-IMP-DEP-09</t>
  </si>
  <si>
    <t>US-IMP-DEP-10</t>
  </si>
  <si>
    <t>US-IMP-DEP-11</t>
  </si>
  <si>
    <t>En tant qu'admin NEOPRO, je veux scripts pré-migration (fix ownership, copie version) afin d'améliorer la fonctionnalité du système</t>
  </si>
  <si>
    <t>US-IMP-DEP-12</t>
  </si>
  <si>
    <t>En tant qu'admin NEOPRO, je veux des scripts renforcés pour l'installation et le build afin de garantir la fiabilité</t>
  </si>
  <si>
    <t>US-IMP-VID-02</t>
  </si>
  <si>
    <t>HIST-VID</t>
  </si>
  <si>
    <t>En tant qu'opérateur, je veux que les vidéos soient compressées automatiquement à l'upload afin d'optimiser le stockage et le temps de transfert vers les Pi</t>
  </si>
  <si>
    <t>Gestion de Contenu &amp; Vidéo</t>
  </si>
  <si>
    <t>US-IMP-VID-03</t>
  </si>
  <si>
    <t>En tant qu'opérateur, je veux convertir des images en vidéo avec options de fond flouté afin de créer rapidement du contenu dynamique</t>
  </si>
  <si>
    <t>US-IMP-VID-04</t>
  </si>
  <si>
    <t>US-IMP-VID-05</t>
  </si>
  <si>
    <t>En tant qu'opérateur, je veux que les miniatures soient générées automatiquement afin d'afficher un aperçu visuel de chaque vidéo</t>
  </si>
  <si>
    <t>US-IMP-VID-06</t>
  </si>
  <si>
    <t>En tant qu'opérateur, je veux un stockage centralisé FTP afin de gérer facilement tous les actifs multimédias</t>
  </si>
  <si>
    <t>US-IMP-VID-07</t>
  </si>
  <si>
    <t>En tant qu'opérateur, je veux que les configurations soient versionnées avec brouillon afin de pouvoir revenir à une version antérieure</t>
  </si>
  <si>
    <t>US-IMP-VID-08</t>
  </si>
  <si>
    <t>En tant qu'opérateur, je veux gérer les logos et images assets afin de personnaliser le contenu par site</t>
  </si>
  <si>
    <t>US-IMP-VID-09</t>
  </si>
  <si>
    <t>En tant qu'opérateur, je veux que la pagination côté serveur optimise le listing des vidéos afin d'améliorer les performances</t>
  </si>
  <si>
    <t>US-IMP-VID-10</t>
  </si>
  <si>
    <t>En tant qu'opérateur, je veux prévisualiser les vidéos avant déploiement afin de vérifier leur qualité</t>
  </si>
  <si>
    <t>US-IMP-VID-11</t>
  </si>
  <si>
    <t>En tant qu'opérateur, je veux consulter l'historique complet des configurations avec restauration afin de tracer tous les changements</t>
  </si>
  <si>
    <t>US-IMP-VID-12</t>
  </si>
  <si>
    <t>En tant qu'opérateur, je veux une interface de gestion de contenu intuitive et réorganisée afin de travailler efficacement</t>
  </si>
  <si>
    <t>US-IMP-VID-13</t>
  </si>
  <si>
    <t>US-IMP-OVR-01</t>
  </si>
  <si>
    <t>HIST-OVR</t>
  </si>
  <si>
    <t>En tant qu'bénévole du club, je veux afficher un overlay de score adapté à 6 sports différents afin de couvrir tous les matchs du gymnase</t>
  </si>
  <si>
    <t>US-IMP-OVR-03</t>
  </si>
  <si>
    <t>En tant qu'bénévole du club, je veux deux thèmes CSS broadcast pour l'overlay afin de s'adapter aux préférences de chaque club</t>
  </si>
  <si>
    <t>US-IMP-OVR-04</t>
  </si>
  <si>
    <t>En tant qu'bénévole du club, je veux afficher le score en direct avec overlay et popup afin de communiquer en temps réel aux spectateurs</t>
  </si>
  <si>
    <t>US-IMP-OVR-05</t>
  </si>
  <si>
    <t>En tant qu'bénévole du club, je veux personnaliser les overlays depuis le dashboard central afin d'adapter l'apparence à chaque club</t>
  </si>
  <si>
    <t>US-IMP-OVR-06</t>
  </si>
  <si>
    <t>En tant qu'bénévole du club, je veux uploader les logos des équipes et les afficher dans l'overlay afin d'identifier rapidement les équipes</t>
  </si>
  <si>
    <t>US-IMP-OVR-07</t>
  </si>
  <si>
    <t>En tant qu'bénévole du club, je veux utiliser des presets d'overlay prédéfinis afin de gagner du temps dans la configuration</t>
  </si>
  <si>
    <t>US-IMP-OVR-08</t>
  </si>
  <si>
    <t>En tant qu'bénévole du club, je veux afficher un bandeau d'informations défilant afin de communiquer des messages importants</t>
  </si>
  <si>
    <t>US-IMP-OVR-09</t>
  </si>
  <si>
    <t>En tant qu'bénévole du club, je veux déclencher une animation spectaculaire lors d'un but afin de célébrer les moments importants</t>
  </si>
  <si>
    <t>US-IMP-OVR-10</t>
  </si>
  <si>
    <t>En tant qu'bénévole du club, je veux afficher un chronomètre intégré avec le score afin de suivre le temps d'jeu en temps réel</t>
  </si>
  <si>
    <t>US-IMP-ALR-01</t>
  </si>
  <si>
    <t>HIST-ALR</t>
  </si>
  <si>
    <t>En tant qu'admin NEOPRO, je veux configurer des alertes réactives avec escalade afin d'être notifié immédiatement</t>
  </si>
  <si>
    <t>US-IMP-ALR-02</t>
  </si>
  <si>
    <t>En tant qu'admin NEOPRO, je veux des alertes prédictives basées sur les tendances afin de prévenir les problèmes</t>
  </si>
  <si>
    <t>US-IMP-ALR-03</t>
  </si>
  <si>
    <t>En tant qu'admin NEOPRO, je veux être alerté des problèmes réseau afin de réagir rapidement</t>
  </si>
  <si>
    <t>US-IMP-ALR-04</t>
  </si>
  <si>
    <t>En tant qu'admin NEOPRO, je veux effectuer des vérifications de santé système afin de diagnostiquer les problèmes</t>
  </si>
  <si>
    <t>US-IMP-ALR-05</t>
  </si>
  <si>
    <t>En tant qu'admin NEOPRO, je veux définir des objectifs de performance avec alertes afin de monitorer les KPIs</t>
  </si>
  <si>
    <t>US-IMP-ALR-06</t>
  </si>
  <si>
    <t>En tant qu'admin NEOPRO, je veux monitorer le ventilateur de bout en bout afin de prévenir la surchauffe</t>
  </si>
  <si>
    <t>US-IMP-ALR-07</t>
  </si>
  <si>
    <t>En tant qu'admin NEOPRO, je veux recevoir des notifications Slack afin d'être averti rapidement</t>
  </si>
  <si>
    <t>US-IMP-ALR-09</t>
  </si>
  <si>
    <t>En tant qu'admin NEOPRO, je veux que les alertes déclenchent des webhooks afin d'intégrer mes systèmes</t>
  </si>
  <si>
    <t>US-IMP-ALR-10</t>
  </si>
  <si>
    <t>En tant qu'admin NEOPRO, je veux une escalade superviseur pour les alertes critiques afin de garantir la réactivité</t>
  </si>
  <si>
    <t>US-IMP-ALR-11</t>
  </si>
  <si>
    <t>US-IMP-ALR-12</t>
  </si>
  <si>
    <t>En tant qu'admin NEOPRO, je veux masquer le curseur en mode kiosque afin de créer une interface propre</t>
  </si>
  <si>
    <t>US-IMP-ALR-13</t>
  </si>
  <si>
    <t>En tant qu'admin NEOPRO, je veux mesurer la qualité des transitions vidéo afin de détecter les problèmes</t>
  </si>
  <si>
    <t>US-IMP-ALR-14</t>
  </si>
  <si>
    <t>En tant qu'admin NEOPRO, je veux exposer les métriques Prometheus pour les déconnexions Socket afin de les monitorer dans Grafana</t>
  </si>
  <si>
    <t>US-IMP-ALR-15</t>
  </si>
  <si>
    <t>En tant qu'admin NEOPRO, je veux métriques pool connexions db (actif/inactif) afin d'améliorer la fonctionnalité du système</t>
  </si>
  <si>
    <t>US-IMP-ALR-16</t>
  </si>
  <si>
    <t>En tant qu'admin NEOPRO, je veux des dashboards Grafana complets avec authentification Bearer afin de visualiser les métriques</t>
  </si>
  <si>
    <t>US-IMP-ALR-17</t>
  </si>
  <si>
    <t>US-IMP-ALR-18</t>
  </si>
  <si>
    <t>US-IMP-ALR-19</t>
  </si>
  <si>
    <t>En tant qu'admin NEOPRO, je veux un stockage centralisé FTP afin de gérer facilement tous les actifs multimédias</t>
  </si>
  <si>
    <t>US-IMP-ALR-20</t>
  </si>
  <si>
    <t>US-IMP-ALR-21</t>
  </si>
  <si>
    <t>En tant qu'admin NEOPRO, je veux configurer des seuils d'alerte personnalisés afin d'adapter la sensibilité</t>
  </si>
  <si>
    <t>US-IMP-ALR-22</t>
  </si>
  <si>
    <t>En tant qu'admin NEOPRO, je veux que le monitoring soit testé par smoke tests afin de garantir la fiabilité</t>
  </si>
  <si>
    <t>US-IMP-ALR-23</t>
  </si>
  <si>
    <t>US-IMP-MON-01</t>
  </si>
  <si>
    <t>HIST-MON</t>
  </si>
  <si>
    <t>En tant qu'admin NEOPRO, je veux gérer les abonnements 3 tiers (Starter, Pro, Enterprise) afin de monétiser efficacement</t>
  </si>
  <si>
    <t>US-IMP-MON-02</t>
  </si>
  <si>
    <t>En tant qu'admin NEOPRO, je veux que la facturation mensuelle soit automatisée afin de réduire la charge administrative</t>
  </si>
  <si>
    <t>US-IMP-MON-03</t>
  </si>
  <si>
    <t>En tant qu'admin NEOPRO, je veux accéder à un portail annonceur complet afin de gérer mes campagnes publicitaires</t>
  </si>
  <si>
    <t>US-IMP-MON-05</t>
  </si>
  <si>
    <t>En tant qu'admin NEOPRO, je veux un portail agence pour gérer plusieurs annonceurs afin de simplifier la gestion multi-clients</t>
  </si>
  <si>
    <t>US-IMP-MON-06</t>
  </si>
  <si>
    <t>En tant qu'admin NEOPRO, je veux associer les sponsors aux sites afin d'afficher les bonnes publicités au bon endroit</t>
  </si>
  <si>
    <t>US-IMP-MON-07</t>
  </si>
  <si>
    <t>En tant qu'admin NEOPRO, je veux migrer les sponsors vers le modèle Annonceur/Agence afin de moderniser la structure</t>
  </si>
  <si>
    <t>US-IMP-MON-08</t>
  </si>
  <si>
    <t>En tant qu'admin NEOPRO, je veux obtenir une preuve de diffusion des spots publicitaires afin de justifier les investissements</t>
  </si>
  <si>
    <t>US-IMP-MON-09</t>
  </si>
  <si>
    <t>En tant qu'admin NEOPRO, je veux voir les métriques de mes spots sur l'ensemble du réseau afin d'analyser la performance</t>
  </si>
  <si>
    <t>US-IMP-MON-10</t>
  </si>
  <si>
    <t>US-IMP-MON-11</t>
  </si>
  <si>
    <t>En tant qu'admin NEOPRO, je veux sync dashboard sponsors vers pi pendant déploiement (p8) afin d'améliorer la fonctionnalité du système</t>
  </si>
  <si>
    <t>US-IMP-MON-12</t>
  </si>
  <si>
    <t>US-IMP-MON-13</t>
  </si>
  <si>
    <t>US-IMP-MON-14</t>
  </si>
  <si>
    <t>US-IMP-PLS-01</t>
  </si>
  <si>
    <t>HIST-PLS</t>
  </si>
  <si>
    <t>En tant qu'opérateur, je veux créer des playlists personnalisées afin de programmer le contenu</t>
  </si>
  <si>
    <t>Contenu programmé et diffusé | Planifications respectées</t>
  </si>
  <si>
    <t>US-IMP-PLS-02</t>
  </si>
  <si>
    <t>En tant qu'opérateur, je veux programmer les vidéos par horaires afin d'adapter le contenu au timing du match</t>
  </si>
  <si>
    <t>US-IMP-PLS-03</t>
  </si>
  <si>
    <t>En tant qu'opérateur, je veux créer des planifications récurrentes afin d'automatiser la programmation</t>
  </si>
  <si>
    <t>US-IMP-PI-01</t>
  </si>
  <si>
    <t>HIST-PI</t>
  </si>
  <si>
    <t>En tant qu'bénévole du club, je veux une télécommande v2 améliorée afin de contrôler la TV avec plus de fonctionnalités</t>
  </si>
  <si>
    <t>US-IMP-PI-02</t>
  </si>
  <si>
    <t>En tant qu'bénévole du club, je veux un socket local persistant pour le sync-agent afin d'assurer la communication fiable</t>
  </si>
  <si>
    <t>US-IMP-PI-03</t>
  </si>
  <si>
    <t>En tant qu'bénévole du club, je veux un double-buffer pour la lecture vidéo afin d'éviter les scintillements</t>
  </si>
  <si>
    <t>US-IMP-PI-04</t>
  </si>
  <si>
    <t>En tant qu'bénévole du club, je veux créer des profils de configuration personnalisés afin d'adapter le Pi aux besoins</t>
  </si>
  <si>
    <t>US-IMP-PI-05</t>
  </si>
  <si>
    <t>En tant qu'bénévole du club, je veux détecter le statut TV via HDMI-CEC afin de savoir si le dispositif est actif</t>
  </si>
  <si>
    <t>US-IMP-PI-07</t>
  </si>
  <si>
    <t>En tant qu'bénévole du club, je veux que les erreurs vidéo soient récupérées automatiquement afin d'assurer la continuité</t>
  </si>
  <si>
    <t>US-IMP-PI-08</t>
  </si>
  <si>
    <t>En tant qu'bénévole du club, je veux ajouter un filigrane configurable sur les overlays afin de personnaliser l'affichage</t>
  </si>
  <si>
    <t>US-IMP-PI-09</t>
  </si>
  <si>
    <t>En tant qu'bénévole du club, je veux sélecteur de filigrane déroulant sur dashboard afin d'améliorer la fonctionnalité du système</t>
  </si>
  <si>
    <t>US-IMP-PI-10</t>
  </si>
  <si>
    <t>En tant qu'bénévole du club, je veux capturer l'écran de la TV afin de vérifier le contenu affiché</t>
  </si>
  <si>
    <t>US-IMP-PI-11</t>
  </si>
  <si>
    <t>En tant qu'bénévole du club, je veux personnaliser le branding pour chaque site afin de créer une identité unique</t>
  </si>
  <si>
    <t>US-IMP-PI-12</t>
  </si>
  <si>
    <t>En tant qu'bénévole du club, je veux que le hostname du Pi soit défini dynamiquement d'après le nom du club afin de faciliter l'identification</t>
  </si>
  <si>
    <t>US-IMP-PI-13</t>
  </si>
  <si>
    <t>En tant qu'bénévole du club, je veux que l'enregistrement retourne automatiquement en boucle après inactivité afin d'optimiser l'UX</t>
  </si>
  <si>
    <t>US-IMP-PI-14</t>
  </si>
  <si>
    <t>En tant qu'bénévole du club, je veux enregistrement : popup avertissement inactivité avec décompte (adr-021) afin d'améliorer la fonctionnalité du système</t>
  </si>
  <si>
    <t>US-IMP-PI-15</t>
  </si>
  <si>
    <t>En tant qu'bénévole du club, je veux basculer entre mode club et mode tech afin d'accéder aux fonctions avancées</t>
  </si>
  <si>
    <t>US-IMP-PI-16</t>
  </si>
  <si>
    <t>En tant qu'bénévole du club, je veux installer des paquets apt depuis le dashboard afin de gérer les dépendances</t>
  </si>
  <si>
    <t>US-IMP-PI-17</t>
  </si>
  <si>
    <t>En tant qu'bénévole du club, je veux contrôler l'enregistrement des analytics et la sync maître-esclave afin de personnaliser le comportement</t>
  </si>
  <si>
    <t>US-IMP-PI-18</t>
  </si>
  <si>
    <t>En tant qu'bénévole du club, je veux masquer le curseur en mode kiosque afin de créer une interface propre</t>
  </si>
  <si>
    <t>US-IMP-PI-19</t>
  </si>
  <si>
    <t>En tant qu'bénévole du club, je veux détecter les transitions TV en temps réel afin d'optimiser l'affichage</t>
  </si>
  <si>
    <t>US-IMP-PI-20</t>
  </si>
  <si>
    <t>En tant qu'bénévole du club, je veux migrer vers Chromium afin d'améliorer la compatibilité et les performances</t>
  </si>
  <si>
    <t>US-IMP-PI-21</t>
  </si>
  <si>
    <t>En tant qu'bénévole du club, je veux programmer la boucle vidéo par phase de match afin d'adapter le contenu dynamiquement</t>
  </si>
  <si>
    <t>US-IMP-PI-22</t>
  </si>
  <si>
    <t>En tant qu'bénévole du club, je veux pré-charger le cache disque afin d'améliorer les performances</t>
  </si>
  <si>
    <t>US-IMP-PI-23</t>
  </si>
  <si>
    <t>En tant qu'bénévole du club, je veux nettoyer automatiquement la mémoire GPU afin d'éviter les fuites</t>
  </si>
  <si>
    <t>US-IMP-PI-24</t>
  </si>
  <si>
    <t>En tant qu'bénévole du club, je veux le décodage vidéo H.264 matériel sur Pi4 et logiciel sur Pi5 afin d'optimiser les ressources</t>
  </si>
  <si>
    <t>US-IMP-NET-01</t>
  </si>
  <si>
    <t>HIST-NET</t>
  </si>
  <si>
    <t>En tant qu'développeur, je veux un agent de synchronisation bidirectionnel afin de maintenir la cohérence des données</t>
  </si>
  <si>
    <t>US-IMP-NET-02</t>
  </si>
  <si>
    <t>En tant qu'développeur, je veux mettre en file les opérations hors-ligne afin qu'elles s'exécutent à la reconnexion</t>
  </si>
  <si>
    <t>US-IMP-NET-03</t>
  </si>
  <si>
    <t>En tant qu'développeur, je veux un mécanisme de chien de garde réseau afin de détecter les déconnexions</t>
  </si>
  <si>
    <t>US-IMP-NET-04</t>
  </si>
  <si>
    <t>En tant qu'développeur, je veux que les opérations réseau soient sécurisées et atomiques afin d'éviter les corruptions</t>
  </si>
  <si>
    <t>US-IMP-NET-05</t>
  </si>
  <si>
    <t>En tant qu'développeur, je veux détecter le statut de connexion réseau afin de réagir intelligemment</t>
  </si>
  <si>
    <t>US-IMP-NET-06</t>
  </si>
  <si>
    <t>En tant qu'développeur, je veux consulter l'historique de synchronisation afin de tracer toutes les opérations</t>
  </si>
  <si>
    <t>US-IMP-NET-08</t>
  </si>
  <si>
    <t>En tant qu'développeur, je veux planifier les redémarrages OTA avec rollback automatique afin de minimiser les risques</t>
  </si>
  <si>
    <t>US-IMP-NET-09</t>
  </si>
  <si>
    <t>En tant qu'développeur, je veux être alerté des problèmes réseau afin de réagir rapidement</t>
  </si>
  <si>
    <t>US-IMP-NET-10</t>
  </si>
  <si>
    <t>En tant qu'développeur, je veux un portail captif Android avec compatibilité iOS/Windows/macOS afin de gérer les connexions WiFi</t>
  </si>
  <si>
    <t>US-IMP-NET-11</t>
  </si>
  <si>
    <t>US-IMP-NET-12</t>
  </si>
  <si>
    <t>En tant qu'développeur, je veux activer l'anti-interférence hotspot afin de réduire les conflits WiFi</t>
  </si>
  <si>
    <t>US-IMP-NET-13</t>
  </si>
  <si>
    <t>En tant qu'développeur, je veux une récupération rapide du WiFi après déconnexion afin de minimiser le downtime</t>
  </si>
  <si>
    <t>US-IMP-NET-14</t>
  </si>
  <si>
    <t>En tant qu'développeur, je veux préserver le hotspot wlan1 afin de maintenir le mode tethering</t>
  </si>
  <si>
    <t>US-IMP-NET-15</t>
  </si>
  <si>
    <t>US-IMP-NET-16</t>
  </si>
  <si>
    <t>US-IMP-NET-17</t>
  </si>
  <si>
    <t>En tant qu'développeur, je veux configurer le WiFi client à distance depuis le dashboard afin de simplifier le déploiement</t>
  </si>
  <si>
    <t>US-IMP-NET-18</t>
  </si>
  <si>
    <t>En tant qu'développeur, je veux détecter les connexions zombie afin de les nettoyer</t>
  </si>
  <si>
    <t>US-IMP-NET-19</t>
  </si>
  <si>
    <t>En tant qu'développeur, je veux planifier et déployer les mises à jour OTA afin de maintenir les Pi à jour sans interruption</t>
  </si>
  <si>
    <t>US-IMP-USR-01</t>
  </si>
  <si>
    <t>HIST-USR</t>
  </si>
  <si>
    <t>En tant qu'admin NEOPRO, je veux gérer les utilisateurs multi-tenant afin de contrôler les accès par rôle</t>
  </si>
  <si>
    <t>Interface admin fonctionnelle | Opérations effectuées avec succès</t>
  </si>
  <si>
    <t>US-IMP-USR-02</t>
  </si>
  <si>
    <t>En tant qu'admin NEOPRO, je veux gérer les rôles sponsor/annonceur et agence afin de structurer les permissions</t>
  </si>
  <si>
    <t>US-IMP-USR-03</t>
  </si>
  <si>
    <t>US-IMP-USR-04</t>
  </si>
  <si>
    <t>Total US</t>
  </si>
  <si>
    <t>SP Livrés</t>
  </si>
  <si>
    <t>SP Total</t>
  </si>
  <si>
    <t>US-06.1.3</t>
  </si>
  <si>
    <t>PI-1 S2</t>
  </si>
  <si>
    <t>Auto-provisioning réseau Pi</t>
  </si>
  <si>
    <t>To Do</t>
  </si>
  <si>
    <t>Story Points</t>
  </si>
  <si>
    <t>S4</t>
  </si>
  <si>
    <t>Allocation</t>
  </si>
  <si>
    <t>_Metadata — Portfolio SAFe NEOPRO</t>
  </si>
  <si>
    <t>Clé</t>
  </si>
  <si>
    <t>Framework</t>
  </si>
  <si>
    <t>SAFe Essential (simplifié solo-dev)</t>
  </si>
  <si>
    <t>Entreprise</t>
  </si>
  <si>
    <t>NEOPRO</t>
  </si>
  <si>
    <t>Produit</t>
  </si>
  <si>
    <t>Système TV interactive clubs sportifs</t>
  </si>
  <si>
    <t>ART</t>
  </si>
  <si>
    <t>NEOPRO ART (1 équipe, 2 devs)</t>
  </si>
  <si>
    <t>PI Cadence</t>
  </si>
  <si>
    <t>6 semaines (3 sprints × 2 semaines)</t>
  </si>
  <si>
    <t>PI actuel</t>
  </si>
  <si>
    <t>PI-1 (Fév-Mars 2026)</t>
  </si>
  <si>
    <t>PI-1 à PI-3 (Fév-Juil 2026)</t>
  </si>
  <si>
    <t>VS1 (Infrastructure Club) + VS2 (Régie Sponsors)</t>
  </si>
  <si>
    <t>Source of Truth</t>
  </si>
  <si>
    <t>docs/safe/*.md (Git)</t>
  </si>
  <si>
    <t>Dernière mise à jour</t>
  </si>
  <si>
    <t>Février 2026</t>
  </si>
  <si>
    <t>Générateur</t>
  </si>
  <si>
    <t>export-to-excel.py + openpyxl</t>
  </si>
  <si>
    <t>3.0</t>
  </si>
  <si>
    <t>Onglet</t>
  </si>
  <si>
    <t>Lignes</t>
  </si>
  <si>
    <t>Source MD</t>
  </si>
  <si>
    <t>Navigation et résumé</t>
  </si>
  <si>
    <t>README.md</t>
  </si>
  <si>
    <t>Termes SAFe et métier</t>
  </si>
  <si>
    <t>GLOSSARY.md</t>
  </si>
  <si>
    <t>Vision produit et OKRs</t>
  </si>
  <si>
    <t>VISION-OKR.md</t>
  </si>
  <si>
    <t>VS1 + VS2 avec thèmes</t>
  </si>
  <si>
    <t>VALUE-STREAMS.md</t>
  </si>
  <si>
    <t>Backlog Epics avec WSJF</t>
  </si>
  <si>
    <t>21</t>
  </si>
  <si>
    <t>EPICS.md</t>
  </si>
  <si>
    <t>LBC détaillés par Epic</t>
  </si>
  <si>
    <t>LEAN-BUSINESS-CASES.md</t>
  </si>
  <si>
    <t>Features groupées par Epic</t>
  </si>
  <si>
    <t>35</t>
  </si>
  <si>
    <t>FEATURES.md</t>
  </si>
  <si>
    <t>Objectives PI avec BV scoring</t>
  </si>
  <si>
    <t>PI-OBJECTIVES.md</t>
  </si>
  <si>
    <t>Suivi des sprints PI-1</t>
  </si>
  <si>
    <t>SPRINT-TRACKER.md</t>
  </si>
  <si>
    <t>Risques et obstacles</t>
  </si>
  <si>
    <t>ROAM.md</t>
  </si>
  <si>
    <t>Template I&amp;A fin de PI</t>
  </si>
  <si>
    <t>INSPECT-ADAPT.md</t>
  </si>
  <si>
    <t>Métriques de flux SAFe</t>
  </si>
  <si>
    <t>FLOW-METRICS.md</t>
  </si>
  <si>
    <t>US implémentées (PI-0)</t>
  </si>
  <si>
    <t>174</t>
  </si>
  <si>
    <t>IMPLEMENTED-BACKLOG.md</t>
  </si>
  <si>
    <t>Toutes les US</t>
  </si>
  <si>
    <t>250</t>
  </si>
  <si>
    <t>USER-STORIES.md</t>
  </si>
  <si>
    <t>2.3 -&gt; a suppr</t>
  </si>
  <si>
    <t>S7</t>
  </si>
  <si>
    <t>S8</t>
  </si>
  <si>
    <t>S9</t>
  </si>
  <si>
    <t>ARPU annonceur &gt;300€/mois</t>
  </si>
  <si>
    <t>Procédure d'installation documentée reproductible sans Gwenvael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</si>
</sst>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77" x14ac:knownFonts="1">
    <font>
      <sz val="11"/>
      <color theme="1"/>
      <name val="Calibri"/>
      <family val="2"/>
      <charset val="1"/>
    </font>
    <font>
      <sz val="10"/>
      <name val="Arial"/>
      <family val="2"/>
    </font>
    <font>
      <b/>
      <sz val="16"/>
      <color rgb="FFFFFFFF"/>
      <name val="Arial"/>
      <family val="2"/>
      <charset val="1"/>
    </font>
    <font>
      <sz val="11"/>
      <color theme="1"/>
      <name val="Arial"/>
      <family val="2"/>
    </font>
    <font>
      <b/>
      <sz val="11"/>
      <color rgb="FFFFFFFF"/>
      <name val="Arial"/>
      <family val="2"/>
      <charset val="1"/>
    </font>
    <font>
      <b/>
      <sz val="9"/>
      <color rgb="FF555555"/>
      <name val="Arial"/>
      <family val="2"/>
      <charset val="1"/>
    </font>
    <font>
      <b/>
      <sz val="14"/>
      <color rgb="FF1F4E78"/>
      <name val="Arial"/>
      <family val="2"/>
      <charset val="1"/>
    </font>
    <font>
      <b/>
      <sz val="13"/>
      <color rgb="FF375623"/>
      <name val="Arial"/>
      <family val="2"/>
      <charset val="1"/>
    </font>
    <font>
      <b/>
      <sz val="10"/>
      <color rgb="FFFFFFFF"/>
      <name val="Arial"/>
      <family val="2"/>
      <charset val="1"/>
    </font>
    <font>
      <u/>
      <sz val="11"/>
      <color rgb="FF0563C1"/>
      <name val="Arial"/>
      <family val="2"/>
    </font>
    <font>
      <sz val="10"/>
      <color rgb="FF333333"/>
      <name val="Arial"/>
      <family val="2"/>
      <charset val="1"/>
    </font>
    <font>
      <b/>
      <sz val="12"/>
      <color rgb="FFED7D31"/>
      <name val="Arial"/>
      <family val="2"/>
      <charset val="1"/>
    </font>
    <font>
      <b/>
      <sz val="12"/>
      <color rgb="FFFF0000"/>
      <name val="Arial"/>
      <family val="2"/>
      <charset val="1"/>
    </font>
    <font>
      <b/>
      <sz val="12"/>
      <color rgb="FF2F5496"/>
      <name val="Arial"/>
      <family val="2"/>
      <charset val="1"/>
    </font>
    <font>
      <b/>
      <sz val="12"/>
      <color rgb="FF00B050"/>
      <name val="Arial"/>
      <family val="2"/>
      <charset val="1"/>
    </font>
    <font>
      <b/>
      <sz val="10"/>
      <color rgb="FF333333"/>
      <name val="Arial"/>
      <family val="2"/>
      <charset val="1"/>
    </font>
    <font>
      <b/>
      <sz val="12"/>
      <color rgb="FF1F4E78"/>
      <name val="Arial"/>
      <family val="2"/>
      <charset val="1"/>
    </font>
    <font>
      <b/>
      <sz val="10"/>
      <color rgb="FF1F4E78"/>
      <name val="Arial"/>
      <family val="2"/>
      <charset val="1"/>
    </font>
    <font>
      <sz val="10"/>
      <color rgb="FF00B050"/>
      <name val="Arial"/>
      <family val="2"/>
      <charset val="1"/>
    </font>
    <font>
      <sz val="10"/>
      <color rgb="FFED7D31"/>
      <name val="Arial"/>
      <family val="2"/>
      <charset val="1"/>
    </font>
    <font>
      <sz val="10"/>
      <color rgb="FF999999"/>
      <name val="Arial"/>
      <family val="2"/>
      <charset val="1"/>
    </font>
    <font>
      <b/>
      <sz val="9"/>
      <color rgb="FF1F4E78"/>
      <name val="Arial"/>
      <family val="2"/>
      <charset val="1"/>
    </font>
    <font>
      <b/>
      <sz val="12"/>
      <color rgb="FF375623"/>
      <name val="Arial"/>
      <family val="2"/>
      <charset val="1"/>
    </font>
    <font>
      <b/>
      <sz val="12"/>
      <color rgb="FFFFFFFF"/>
      <name val="Arial"/>
      <family val="2"/>
    </font>
    <font>
      <u/>
      <sz val="11"/>
      <color rgb="FF4472C4"/>
      <name val="Arial"/>
      <family val="2"/>
    </font>
    <font>
      <u/>
      <sz val="11"/>
      <color theme="10"/>
      <name val="Arial"/>
      <family val="2"/>
    </font>
    <font>
      <u/>
      <sz val="10"/>
      <color rgb="FF0563C1"/>
      <name val="Arial"/>
      <family val="2"/>
      <charset val="1"/>
    </font>
    <font>
      <u/>
      <sz val="10"/>
      <color rgb="FF4472C4"/>
      <name val="Arial"/>
      <family val="2"/>
    </font>
    <font>
      <b/>
      <sz val="14"/>
      <color rgb="FFFFFFFF"/>
      <name val="Arial"/>
      <family val="2"/>
    </font>
    <font>
      <i/>
      <sz val="10"/>
      <color rgb="FFFFFFFF"/>
      <name val="Arial"/>
      <family val="2"/>
      <charset val="1"/>
    </font>
    <font>
      <u/>
      <sz val="10"/>
      <color rgb="FF0563C1"/>
      <name val="Arial"/>
      <family val="2"/>
    </font>
    <font>
      <b/>
      <sz val="14"/>
      <color rgb="FFFFFFFF"/>
      <name val="Arial"/>
      <family val="2"/>
      <charset val="1"/>
    </font>
    <font>
      <sz val="10"/>
      <name val="Arial"/>
      <family val="2"/>
      <charset val="1"/>
    </font>
    <font>
      <sz val="11"/>
      <color theme="1"/>
      <name val="Arial"/>
      <family val="2"/>
      <charset val="1"/>
    </font>
    <font>
      <b/>
      <sz val="12"/>
      <color rgb="FFFFFFFF"/>
      <name val="Arial"/>
      <family val="2"/>
      <charset val="1"/>
    </font>
    <font>
      <i/>
      <sz val="10"/>
      <name val="Arial"/>
      <family val="2"/>
      <charset val="1"/>
    </font>
    <font>
      <b/>
      <sz val="9"/>
      <name val="Arial"/>
      <family val="2"/>
      <charset val="1"/>
    </font>
    <font>
      <sz val="9"/>
      <name val="Arial"/>
      <family val="2"/>
      <charset val="1"/>
    </font>
    <font>
      <b/>
      <sz val="12"/>
      <name val="Arial"/>
      <family val="2"/>
      <charset val="1"/>
    </font>
    <font>
      <b/>
      <sz val="10"/>
      <name val="Arial"/>
      <family val="2"/>
      <charset val="1"/>
    </font>
    <font>
      <b/>
      <i/>
      <sz val="10"/>
      <name val="Arial"/>
      <family val="2"/>
      <charset val="1"/>
    </font>
    <font>
      <b/>
      <sz val="10"/>
      <color rgb="FFFFFFFF"/>
      <name val="Arial"/>
      <family val="2"/>
    </font>
    <font>
      <b/>
      <sz val="9"/>
      <color rgb="FF1F4E78"/>
      <name val="Arial"/>
      <family val="2"/>
    </font>
    <font>
      <sz val="9"/>
      <color rgb="FF333333"/>
      <name val="Arial"/>
      <family val="2"/>
    </font>
    <font>
      <b/>
      <sz val="10"/>
      <color rgb="FF333333"/>
      <name val="Arial"/>
      <family val="2"/>
    </font>
    <font>
      <b/>
      <sz val="9"/>
      <color rgb="FF333333"/>
      <name val="Arial"/>
      <family val="2"/>
    </font>
    <font>
      <sz val="8"/>
      <color rgb="FF555555"/>
      <name val="Arial"/>
      <family val="2"/>
    </font>
    <font>
      <b/>
      <sz val="10"/>
      <name val="Arial"/>
      <family val="2"/>
    </font>
    <font>
      <b/>
      <sz val="11"/>
      <color rgb="FF000000"/>
      <name val="Arial"/>
      <family val="2"/>
    </font>
    <font>
      <sz val="11"/>
      <name val="Arial"/>
      <family val="2"/>
    </font>
    <font>
      <i/>
      <sz val="10"/>
      <color rgb="FFFFFFFF"/>
      <name val="Arial"/>
      <family val="2"/>
    </font>
    <font>
      <b/>
      <sz val="11"/>
      <color rgb="FFFFFFFF"/>
      <name val="Arial"/>
      <family val="2"/>
    </font>
    <font>
      <b/>
      <sz val="11"/>
      <name val="Arial"/>
      <family val="2"/>
    </font>
    <font>
      <b/>
      <i/>
      <sz val="11"/>
      <name val="Arial"/>
      <family val="2"/>
    </font>
    <font>
      <b/>
      <sz val="10"/>
      <color theme="1"/>
      <name val="Arial"/>
      <family val="2"/>
      <charset val="1"/>
    </font>
    <font>
      <sz val="10"/>
      <color theme="1"/>
      <name val="Arial"/>
      <family val="2"/>
      <charset val="1"/>
    </font>
    <font>
      <sz val="10"/>
      <color rgb="FF008000"/>
      <name val="Arial"/>
      <family val="2"/>
      <charset val="1"/>
    </font>
    <font>
      <sz val="10"/>
      <color rgb="FFFFFFFF"/>
      <name val="Arial"/>
      <family val="2"/>
      <charset val="1"/>
    </font>
    <font>
      <sz val="10"/>
      <color rgb="FFFFC000"/>
      <name val="Arial"/>
      <family val="2"/>
      <charset val="1"/>
    </font>
    <font>
      <sz val="10"/>
      <color rgb="FFFFD700"/>
      <name val="Arial"/>
      <family val="2"/>
      <charset val="1"/>
    </font>
    <font>
      <sz val="10"/>
      <color rgb="FF2E75B6"/>
      <name val="Arial"/>
      <family val="2"/>
      <charset val="1"/>
    </font>
    <font>
      <i/>
      <sz val="10"/>
      <name val="Arial"/>
      <family val="2"/>
    </font>
    <font>
      <b/>
      <sz val="11"/>
      <color rgb="FF2F5496"/>
      <name val="Arial"/>
      <family val="2"/>
    </font>
    <font>
      <b/>
      <sz val="11"/>
      <color rgb="FFE65100"/>
      <name val="Arial"/>
      <family val="2"/>
    </font>
    <font>
      <sz val="10"/>
      <name val="Arial"/>
      <family val="2"/>
    </font>
    <font>
      <i/>
      <sz val="9"/>
      <color rgb="FF666666"/>
      <name val="Arial"/>
      <family val="2"/>
    </font>
    <font>
      <b/>
      <sz val="11"/>
      <color rgb="FF00B050"/>
      <name val="Arial"/>
      <family val="2"/>
    </font>
    <font>
      <b/>
      <sz val="11"/>
      <color rgb="FFFFC000"/>
      <name val="Arial"/>
      <family val="2"/>
    </font>
    <font>
      <i/>
      <sz val="10"/>
      <color rgb="FF999999"/>
      <name val="Arial"/>
      <family val="2"/>
    </font>
    <font>
      <b/>
      <sz val="13"/>
      <color rgb="FFFFFFFF"/>
      <name val="Arial"/>
      <family val="2"/>
      <charset val="1"/>
    </font>
    <font>
      <i/>
      <sz val="10"/>
      <color rgb="FF333333"/>
      <name val="Arial"/>
      <family val="2"/>
      <charset val="1"/>
    </font>
    <font>
      <b/>
      <sz val="12"/>
      <name val="Arial"/>
      <family val="2"/>
    </font>
    <font>
      <sz val="11"/>
      <color rgb="FF2E7D32"/>
      <name val="Arial"/>
      <family val="2"/>
    </font>
    <font>
      <b/>
      <sz val="14"/>
      <color rgb="FFFFFFFF"/>
      <name val="Calibri"/>
      <family val="2"/>
      <charset val="1"/>
    </font>
    <font>
      <b/>
      <sz val="11"/>
      <color rgb="FFFFFFFF"/>
      <name val="Calibri"/>
      <family val="2"/>
      <charset val="1"/>
    </font>
    <font>
      <sz val="11"/>
      <name val="Calibri"/>
      <family val="2"/>
      <charset val="1"/>
    </font>
    <font>
      <sz val="10"/>
      <color rgb="FF000000"/>
      <name val="Arial"/>
      <family val="2"/>
    </font>
  </fonts>
  <fills count="37">
    <fill>
      <patternFill patternType="none"/>
    </fill>
    <fill>
      <patternFill patternType="gray125"/>
    </fill>
    <fill>
      <patternFill patternType="solid">
        <fgColor rgb="FF1F4E78"/>
        <bgColor rgb="FF2F5496"/>
      </patternFill>
    </fill>
    <fill>
      <patternFill patternType="solid">
        <fgColor rgb="FF2F5496"/>
        <bgColor rgb="FF1F4E78"/>
      </patternFill>
    </fill>
    <fill>
      <patternFill patternType="solid">
        <fgColor rgb="FFD6DCE4"/>
        <bgColor rgb="FFD9D9D9"/>
      </patternFill>
    </fill>
    <fill>
      <patternFill patternType="solid">
        <fgColor rgb="FFE2EFDA"/>
        <bgColor rgb="FFE7E6E6"/>
      </patternFill>
    </fill>
    <fill>
      <patternFill patternType="solid">
        <fgColor rgb="FFF2F2F2"/>
        <bgColor rgb="FFF2F7FB"/>
      </patternFill>
    </fill>
    <fill>
      <patternFill patternType="solid">
        <fgColor rgb="FFFFFFFF"/>
        <bgColor rgb="FFF2F7FB"/>
      </patternFill>
    </fill>
    <fill>
      <patternFill patternType="solid">
        <fgColor rgb="FFD9E1F2"/>
        <bgColor rgb="FFD9E2F3"/>
      </patternFill>
    </fill>
    <fill>
      <patternFill patternType="solid">
        <fgColor rgb="FFD6E4F0"/>
        <bgColor rgb="FFD9E2F3"/>
      </patternFill>
    </fill>
    <fill>
      <patternFill patternType="solid">
        <fgColor rgb="FF203864"/>
        <bgColor rgb="FF1F4E78"/>
      </patternFill>
    </fill>
    <fill>
      <patternFill patternType="solid">
        <fgColor rgb="FFFCE4D6"/>
        <bgColor rgb="FFFFF2CC"/>
      </patternFill>
    </fill>
    <fill>
      <patternFill patternType="solid">
        <fgColor rgb="FFFFF2CC"/>
        <bgColor rgb="FFFCE4D6"/>
      </patternFill>
    </fill>
    <fill>
      <patternFill patternType="solid">
        <fgColor rgb="FFE7E6E6"/>
        <bgColor rgb="FFEDEDED"/>
      </patternFill>
    </fill>
    <fill>
      <patternFill patternType="solid">
        <fgColor rgb="FFEDEDED"/>
        <bgColor rgb="FFF2F2F2"/>
      </patternFill>
    </fill>
    <fill>
      <patternFill patternType="solid">
        <fgColor rgb="FFD9E2F3"/>
        <bgColor rgb="FFD9E1F2"/>
      </patternFill>
    </fill>
    <fill>
      <patternFill patternType="solid">
        <fgColor rgb="FFF2F7FB"/>
        <bgColor rgb="FFF2F2F2"/>
      </patternFill>
    </fill>
    <fill>
      <patternFill patternType="solid">
        <fgColor rgb="FFD3D3D3"/>
        <bgColor rgb="FFD0D0D0"/>
      </patternFill>
    </fill>
    <fill>
      <patternFill patternType="solid">
        <fgColor rgb="FFCCCCCC"/>
        <bgColor rgb="FFD0D0D0"/>
      </patternFill>
    </fill>
    <fill>
      <patternFill patternType="solid">
        <fgColor rgb="FFC6EFCE"/>
        <bgColor rgb="FFE2EFDA"/>
      </patternFill>
    </fill>
    <fill>
      <patternFill patternType="solid">
        <fgColor rgb="FFA9D18A"/>
        <bgColor rgb="FFCCCCCC"/>
      </patternFill>
    </fill>
    <fill>
      <patternFill patternType="solid">
        <fgColor rgb="FFDAEEF3"/>
        <bgColor rgb="FFD6E4F0"/>
      </patternFill>
    </fill>
    <fill>
      <patternFill patternType="solid">
        <fgColor rgb="FF4472C4"/>
        <bgColor rgb="FF2E75B6"/>
      </patternFill>
    </fill>
    <fill>
      <patternFill patternType="solid">
        <fgColor rgb="FF548235"/>
        <bgColor rgb="FF2E7D32"/>
      </patternFill>
    </fill>
    <fill>
      <patternFill patternType="solid">
        <fgColor rgb="FFC55A15"/>
        <bgColor rgb="FFC65911"/>
      </patternFill>
    </fill>
    <fill>
      <patternFill patternType="solid">
        <fgColor rgb="FFB4C6E7"/>
        <bgColor rgb="FFBDD7EE"/>
      </patternFill>
    </fill>
    <fill>
      <patternFill patternType="solid">
        <fgColor rgb="FFF4B084"/>
        <bgColor rgb="FFFFC7CE"/>
      </patternFill>
    </fill>
    <fill>
      <patternFill patternType="solid">
        <fgColor rgb="FFC00000"/>
        <bgColor rgb="FF9C0006"/>
      </patternFill>
    </fill>
    <fill>
      <patternFill patternType="solid">
        <fgColor rgb="FFFFC000"/>
        <bgColor rgb="FFFFD700"/>
      </patternFill>
    </fill>
    <fill>
      <patternFill patternType="solid">
        <fgColor rgb="FFFF0000"/>
        <bgColor rgb="FFC00000"/>
      </patternFill>
    </fill>
    <fill>
      <patternFill patternType="solid">
        <fgColor rgb="FFFFFF00"/>
        <bgColor rgb="FFFFD700"/>
      </patternFill>
    </fill>
    <fill>
      <patternFill patternType="solid">
        <fgColor rgb="FFFFEB9C"/>
        <bgColor rgb="FFFFF2CC"/>
      </patternFill>
    </fill>
    <fill>
      <patternFill patternType="solid">
        <fgColor rgb="FFBDD7EE"/>
        <bgColor rgb="FFB4C6E7"/>
      </patternFill>
    </fill>
    <fill>
      <patternFill patternType="solid">
        <fgColor rgb="FFE65100"/>
        <bgColor rgb="FFC65911"/>
      </patternFill>
    </fill>
    <fill>
      <patternFill patternType="solid">
        <fgColor rgb="FF0070C0"/>
        <bgColor rgb="FF0563C1"/>
      </patternFill>
    </fill>
    <fill>
      <patternFill patternType="solid">
        <fgColor rgb="FFFFFF00"/>
        <bgColor rgb="FFF2F7FB"/>
      </patternFill>
    </fill>
    <fill>
      <patternFill patternType="solid">
        <fgColor rgb="FFFFFF00"/>
        <bgColor rgb="FFF2F2F2"/>
      </patternFill>
    </fill>
  </fills>
  <borders count="28">
    <border>
      <left/>
      <right/>
      <top/>
      <bottom/>
      <diagonal/>
    </border>
    <border>
      <left style="thin">
        <color rgb="FF1F4E78"/>
      </left>
      <right style="thin">
        <color rgb="FF1F4E78"/>
      </right>
      <top style="thin">
        <color rgb="FF1F4E78"/>
      </top>
      <bottom/>
      <diagonal/>
    </border>
    <border>
      <left style="thin">
        <color rgb="FF1F4E78"/>
      </left>
      <right/>
      <top/>
      <bottom/>
      <diagonal/>
    </border>
    <border>
      <left/>
      <right style="thin">
        <color rgb="FF1F4E78"/>
      </right>
      <top/>
      <bottom/>
      <diagonal/>
    </border>
    <border>
      <left style="thin">
        <color rgb="FF1F4E78"/>
      </left>
      <right/>
      <top/>
      <bottom style="thin">
        <color rgb="FF1F4E78"/>
      </bottom>
      <diagonal/>
    </border>
    <border>
      <left/>
      <right/>
      <top/>
      <bottom style="thin">
        <color rgb="FF1F4E78"/>
      </bottom>
      <diagonal/>
    </border>
    <border>
      <left/>
      <right style="thin">
        <color rgb="FF1F4E78"/>
      </right>
      <top/>
      <bottom style="thin">
        <color rgb="FF1F4E78"/>
      </bottom>
      <diagonal/>
    </border>
    <border>
      <left style="thin">
        <color rgb="FF1F4E78"/>
      </left>
      <right/>
      <top style="thin">
        <color rgb="FF1F4E78"/>
      </top>
      <bottom/>
      <diagonal/>
    </border>
    <border>
      <left/>
      <right/>
      <top style="thin">
        <color rgb="FF1F4E78"/>
      </top>
      <bottom/>
      <diagonal/>
    </border>
    <border>
      <left/>
      <right style="thin">
        <color rgb="FF1F4E78"/>
      </right>
      <top style="thin">
        <color rgb="FF1F4E78"/>
      </top>
      <bottom/>
      <diagonal/>
    </border>
    <border>
      <left style="thin">
        <color auto="1"/>
      </left>
      <right style="thin">
        <color auto="1"/>
      </right>
      <top style="thin">
        <color auto="1"/>
      </top>
      <bottom style="thin">
        <color auto="1"/>
      </bottom>
      <diagonal/>
    </border>
    <border>
      <left style="thin">
        <color rgb="FFB4C6E7"/>
      </left>
      <right style="thin">
        <color rgb="FFB4C6E7"/>
      </right>
      <top style="thin">
        <color rgb="FFB4C6E7"/>
      </top>
      <bottom style="thin">
        <color rgb="FFB4C6E7"/>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style="thin">
        <color rgb="FFD0D0D0"/>
      </top>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
      <left style="thin">
        <color rgb="FFD9D9D9"/>
      </left>
      <right style="thin">
        <color rgb="FFD9D9D9"/>
      </right>
      <top style="thin">
        <color rgb="FFD9D9D9"/>
      </top>
      <bottom style="thin">
        <color rgb="FFD9D9D9"/>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thin">
        <color auto="1"/>
      </bottom>
      <diagonal/>
    </border>
  </borders>
  <cellStyleXfs count="1">
    <xf numFmtId="0" fontId="0" fillId="0" borderId="0"/>
  </cellStyleXfs>
  <cellXfs count="319">
    <xf numFmtId="0" fontId="0" fillId="0" borderId="0" xfId="0"/>
    <xf numFmtId="0" fontId="3" fillId="0" borderId="8" xfId="0" applyFont="1" applyBorder="1"/>
    <xf numFmtId="0" fontId="3" fillId="0" borderId="0" xfId="0" applyFont="1" applyAlignment="1">
      <alignment vertical="center"/>
    </xf>
    <xf numFmtId="0" fontId="3" fillId="0" borderId="0" xfId="0" applyFont="1"/>
    <xf numFmtId="0" fontId="5" fillId="4" borderId="2" xfId="0" applyFont="1" applyFill="1" applyBorder="1" applyAlignment="1">
      <alignment horizontal="center" vertical="center"/>
    </xf>
    <xf numFmtId="3" fontId="6" fillId="4" borderId="0" xfId="0" applyNumberFormat="1" applyFont="1" applyFill="1" applyAlignment="1">
      <alignment horizontal="center" vertical="center"/>
    </xf>
    <xf numFmtId="0" fontId="5" fillId="4" borderId="0" xfId="0" applyFont="1" applyFill="1" applyAlignment="1">
      <alignment horizontal="center" vertical="center"/>
    </xf>
    <xf numFmtId="3" fontId="3" fillId="4" borderId="0" xfId="0" applyNumberFormat="1" applyFont="1" applyFill="1" applyAlignment="1">
      <alignment horizontal="center" vertical="center"/>
    </xf>
    <xf numFmtId="3" fontId="3" fillId="4" borderId="3" xfId="0" applyNumberFormat="1" applyFont="1" applyFill="1" applyBorder="1" applyAlignment="1">
      <alignment horizontal="center" vertical="center"/>
    </xf>
    <xf numFmtId="0" fontId="5" fillId="5" borderId="4" xfId="0" applyFont="1" applyFill="1" applyBorder="1" applyAlignment="1">
      <alignment horizontal="center" vertical="center"/>
    </xf>
    <xf numFmtId="3" fontId="7" fillId="5" borderId="5" xfId="0" applyNumberFormat="1" applyFont="1" applyFill="1" applyBorder="1" applyAlignment="1">
      <alignment horizontal="center" vertical="center"/>
    </xf>
    <xf numFmtId="0" fontId="5" fillId="5" borderId="5" xfId="0" applyFont="1" applyFill="1" applyBorder="1" applyAlignment="1">
      <alignment horizontal="center" vertical="center"/>
    </xf>
    <xf numFmtId="3" fontId="7" fillId="5" borderId="6" xfId="0" applyNumberFormat="1" applyFont="1" applyFill="1" applyBorder="1" applyAlignment="1">
      <alignment horizontal="center" vertical="center"/>
    </xf>
    <xf numFmtId="0" fontId="9" fillId="0" borderId="0" xfId="0" applyFont="1"/>
    <xf numFmtId="0" fontId="10" fillId="6" borderId="2" xfId="0" applyFont="1" applyFill="1" applyBorder="1" applyAlignment="1">
      <alignment horizontal="left" vertical="center"/>
    </xf>
    <xf numFmtId="0" fontId="11" fillId="6" borderId="0" xfId="0" applyFont="1" applyFill="1" applyAlignment="1">
      <alignment horizontal="center" vertical="center"/>
    </xf>
    <xf numFmtId="0" fontId="3" fillId="6" borderId="0" xfId="0" applyFont="1" applyFill="1" applyAlignment="1">
      <alignment horizontal="center" vertical="center"/>
    </xf>
    <xf numFmtId="0" fontId="12" fillId="6" borderId="0" xfId="0" applyFont="1" applyFill="1" applyAlignment="1">
      <alignment horizontal="center" vertical="center"/>
    </xf>
    <xf numFmtId="9" fontId="13" fillId="6" borderId="3" xfId="0" applyNumberFormat="1" applyFont="1" applyFill="1" applyBorder="1" applyAlignment="1">
      <alignment horizontal="center" vertical="center"/>
    </xf>
    <xf numFmtId="0" fontId="10" fillId="7" borderId="2" xfId="0" applyFont="1" applyFill="1" applyBorder="1" applyAlignment="1">
      <alignment horizontal="left" vertical="center"/>
    </xf>
    <xf numFmtId="0" fontId="14" fillId="7" borderId="0" xfId="0" applyFont="1" applyFill="1" applyAlignment="1">
      <alignment horizontal="center" vertical="center"/>
    </xf>
    <xf numFmtId="0" fontId="3" fillId="7" borderId="0" xfId="0" applyFont="1" applyFill="1" applyAlignment="1">
      <alignment horizontal="center" vertical="center"/>
    </xf>
    <xf numFmtId="0" fontId="13" fillId="6" borderId="0" xfId="0" applyFont="1" applyFill="1" applyAlignment="1">
      <alignment horizontal="center" vertical="center"/>
    </xf>
    <xf numFmtId="0" fontId="15" fillId="8" borderId="4" xfId="0" applyFont="1" applyFill="1" applyBorder="1" applyAlignment="1">
      <alignment horizontal="left" vertical="center"/>
    </xf>
    <xf numFmtId="0" fontId="16" fillId="8" borderId="5" xfId="0" applyFont="1" applyFill="1" applyBorder="1" applyAlignment="1">
      <alignment horizontal="center" vertical="center"/>
    </xf>
    <xf numFmtId="0" fontId="10" fillId="8" borderId="4" xfId="0" applyFont="1" applyFill="1" applyBorder="1" applyAlignment="1">
      <alignment horizontal="left" vertical="center"/>
    </xf>
    <xf numFmtId="0" fontId="3" fillId="8" borderId="5" xfId="0" applyFont="1" applyFill="1" applyBorder="1" applyAlignment="1">
      <alignment vertical="center"/>
    </xf>
    <xf numFmtId="9" fontId="13" fillId="8" borderId="6" xfId="0" applyNumberFormat="1" applyFont="1" applyFill="1" applyBorder="1" applyAlignment="1">
      <alignment horizontal="center" vertical="center"/>
    </xf>
    <xf numFmtId="0" fontId="8" fillId="3" borderId="1" xfId="0" applyFont="1" applyFill="1" applyBorder="1" applyAlignment="1">
      <alignment horizontal="left" vertical="center"/>
    </xf>
    <xf numFmtId="0" fontId="3" fillId="0" borderId="9" xfId="0" applyFont="1" applyBorder="1"/>
    <xf numFmtId="0" fontId="17" fillId="4" borderId="2" xfId="0" applyFont="1" applyFill="1" applyBorder="1" applyAlignment="1">
      <alignment horizontal="center" vertical="center"/>
    </xf>
    <xf numFmtId="0" fontId="17" fillId="4" borderId="0" xfId="0" applyFont="1" applyFill="1" applyAlignment="1">
      <alignment horizontal="center" vertical="center"/>
    </xf>
    <xf numFmtId="0" fontId="17" fillId="4" borderId="3" xfId="0" applyFont="1" applyFill="1" applyBorder="1" applyAlignment="1">
      <alignment horizontal="center" vertical="center"/>
    </xf>
    <xf numFmtId="0" fontId="15" fillId="6" borderId="2" xfId="0" applyFont="1" applyFill="1" applyBorder="1" applyAlignment="1">
      <alignment horizontal="center" vertical="center"/>
    </xf>
    <xf numFmtId="0" fontId="10" fillId="6" borderId="0" xfId="0" applyFont="1" applyFill="1" applyAlignment="1">
      <alignment horizontal="center" vertical="center"/>
    </xf>
    <xf numFmtId="3" fontId="15" fillId="6" borderId="0" xfId="0" applyNumberFormat="1" applyFont="1" applyFill="1" applyAlignment="1">
      <alignment horizontal="center" vertical="center"/>
    </xf>
    <xf numFmtId="0" fontId="18" fillId="6" borderId="3" xfId="0" applyFont="1" applyFill="1" applyBorder="1" applyAlignment="1">
      <alignment horizontal="center" vertical="center"/>
    </xf>
    <xf numFmtId="0" fontId="15" fillId="7" borderId="2" xfId="0" applyFont="1" applyFill="1" applyBorder="1" applyAlignment="1">
      <alignment horizontal="center" vertical="center"/>
    </xf>
    <xf numFmtId="0" fontId="10" fillId="7" borderId="0" xfId="0" applyFont="1" applyFill="1" applyAlignment="1">
      <alignment horizontal="center" vertical="center"/>
    </xf>
    <xf numFmtId="3" fontId="15" fillId="7" borderId="0" xfId="0" applyNumberFormat="1" applyFont="1" applyFill="1" applyAlignment="1">
      <alignment horizontal="center" vertical="center"/>
    </xf>
    <xf numFmtId="0" fontId="19" fillId="7" borderId="3" xfId="0" applyFont="1" applyFill="1" applyBorder="1" applyAlignment="1">
      <alignment horizontal="center" vertical="center"/>
    </xf>
    <xf numFmtId="0" fontId="15" fillId="6" borderId="4" xfId="0" applyFont="1" applyFill="1" applyBorder="1" applyAlignment="1">
      <alignment horizontal="center" vertical="center"/>
    </xf>
    <xf numFmtId="0" fontId="10" fillId="6" borderId="5" xfId="0" applyFont="1" applyFill="1" applyBorder="1" applyAlignment="1">
      <alignment horizontal="center" vertical="center"/>
    </xf>
    <xf numFmtId="0" fontId="10" fillId="6" borderId="5" xfId="0" applyFont="1" applyFill="1" applyBorder="1" applyAlignment="1">
      <alignment horizontal="left" vertical="center"/>
    </xf>
    <xf numFmtId="0" fontId="3" fillId="0" borderId="5" xfId="0" applyFont="1" applyBorder="1"/>
    <xf numFmtId="3" fontId="15" fillId="6" borderId="5" xfId="0" applyNumberFormat="1" applyFont="1" applyFill="1" applyBorder="1" applyAlignment="1">
      <alignment horizontal="center" vertical="center"/>
    </xf>
    <xf numFmtId="0" fontId="20" fillId="6"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0" xfId="0" applyFont="1" applyFill="1" applyAlignment="1">
      <alignment horizontal="center" vertical="center"/>
    </xf>
    <xf numFmtId="0" fontId="21" fillId="4" borderId="3" xfId="0" applyFont="1" applyFill="1" applyBorder="1" applyAlignment="1">
      <alignment horizontal="center" vertical="center"/>
    </xf>
    <xf numFmtId="0" fontId="15" fillId="5" borderId="4" xfId="0" applyFont="1" applyFill="1" applyBorder="1" applyAlignment="1">
      <alignment horizontal="center" vertical="center"/>
    </xf>
    <xf numFmtId="0" fontId="22" fillId="5" borderId="5" xfId="0" applyFont="1" applyFill="1" applyBorder="1" applyAlignment="1">
      <alignment horizontal="center" vertical="center"/>
    </xf>
    <xf numFmtId="164" fontId="16" fillId="8" borderId="6" xfId="0" applyNumberFormat="1" applyFont="1" applyFill="1" applyBorder="1" applyAlignment="1">
      <alignment horizontal="center" vertical="center"/>
    </xf>
    <xf numFmtId="0" fontId="24" fillId="6" borderId="10" xfId="0" applyFont="1" applyFill="1" applyBorder="1" applyAlignment="1">
      <alignment horizontal="center" vertical="center"/>
    </xf>
    <xf numFmtId="0" fontId="25" fillId="6" borderId="0" xfId="0" applyFont="1" applyFill="1" applyAlignment="1">
      <alignment horizontal="center" vertical="center"/>
    </xf>
    <xf numFmtId="0" fontId="26" fillId="6" borderId="0" xfId="0" applyFont="1" applyFill="1" applyAlignment="1">
      <alignment horizontal="center" vertical="center"/>
    </xf>
    <xf numFmtId="0" fontId="25" fillId="6" borderId="3" xfId="0" applyFont="1" applyFill="1" applyBorder="1" applyAlignment="1">
      <alignment horizontal="center" vertical="center"/>
    </xf>
    <xf numFmtId="0" fontId="24" fillId="7" borderId="10" xfId="0" applyFont="1" applyFill="1" applyBorder="1" applyAlignment="1">
      <alignment horizontal="center" vertical="center"/>
    </xf>
    <xf numFmtId="0" fontId="25" fillId="7" borderId="5" xfId="0" applyFont="1" applyFill="1" applyBorder="1" applyAlignment="1">
      <alignment horizontal="center" vertical="center"/>
    </xf>
    <xf numFmtId="0" fontId="27" fillId="7" borderId="5" xfId="0" applyFont="1" applyFill="1" applyBorder="1" applyAlignment="1">
      <alignment vertical="center"/>
    </xf>
    <xf numFmtId="0" fontId="9" fillId="7" borderId="5" xfId="0" applyFont="1" applyFill="1" applyBorder="1" applyAlignment="1">
      <alignment vertical="center"/>
    </xf>
    <xf numFmtId="0" fontId="24" fillId="7" borderId="10" xfId="0" applyFont="1" applyFill="1" applyBorder="1" applyAlignment="1">
      <alignment vertical="center"/>
    </xf>
    <xf numFmtId="0" fontId="3" fillId="7" borderId="5" xfId="0" applyFont="1" applyFill="1" applyBorder="1" applyAlignment="1">
      <alignment vertical="center"/>
    </xf>
    <xf numFmtId="0" fontId="3" fillId="7" borderId="6" xfId="0" applyFont="1" applyFill="1" applyBorder="1" applyAlignment="1">
      <alignment vertical="center"/>
    </xf>
    <xf numFmtId="0" fontId="24" fillId="0" borderId="10" xfId="0" applyFont="1" applyBorder="1"/>
    <xf numFmtId="0" fontId="24" fillId="3" borderId="10" xfId="0" applyFont="1" applyFill="1" applyBorder="1" applyAlignment="1">
      <alignment horizontal="left" vertical="center"/>
    </xf>
    <xf numFmtId="0" fontId="30" fillId="0" borderId="0" xfId="0" applyFont="1"/>
    <xf numFmtId="0" fontId="15" fillId="5" borderId="11" xfId="0" applyFont="1" applyFill="1" applyBorder="1" applyAlignment="1">
      <alignment horizontal="center" vertical="center" wrapText="1"/>
    </xf>
    <xf numFmtId="0" fontId="10" fillId="7" borderId="11" xfId="0" applyFont="1" applyFill="1" applyBorder="1" applyAlignment="1">
      <alignment vertical="top" wrapText="1"/>
    </xf>
    <xf numFmtId="0" fontId="8" fillId="10" borderId="11" xfId="0" applyFont="1" applyFill="1" applyBorder="1" applyAlignment="1">
      <alignment horizontal="center" vertical="center"/>
    </xf>
    <xf numFmtId="0" fontId="15" fillId="6" borderId="11" xfId="0" applyFont="1" applyFill="1" applyBorder="1" applyAlignment="1">
      <alignment vertical="top" wrapText="1"/>
    </xf>
    <xf numFmtId="0" fontId="10" fillId="6" borderId="11" xfId="0" applyFont="1" applyFill="1" applyBorder="1" applyAlignment="1">
      <alignment vertical="top" wrapText="1"/>
    </xf>
    <xf numFmtId="0" fontId="15" fillId="7" borderId="11" xfId="0" applyFont="1" applyFill="1" applyBorder="1" applyAlignment="1">
      <alignment vertical="top" wrapText="1"/>
    </xf>
    <xf numFmtId="0" fontId="15" fillId="11" borderId="11" xfId="0" applyFont="1" applyFill="1" applyBorder="1" applyAlignment="1">
      <alignment vertical="center"/>
    </xf>
    <xf numFmtId="0" fontId="15" fillId="7" borderId="11" xfId="0" applyFont="1" applyFill="1" applyBorder="1" applyAlignment="1">
      <alignment vertical="center"/>
    </xf>
    <xf numFmtId="0" fontId="15" fillId="12" borderId="11" xfId="0" applyFont="1" applyFill="1" applyBorder="1" applyAlignment="1">
      <alignment vertical="top" wrapText="1"/>
    </xf>
    <xf numFmtId="0" fontId="10" fillId="12" borderId="11" xfId="0" applyFont="1" applyFill="1" applyBorder="1" applyAlignment="1">
      <alignment vertical="top" wrapText="1"/>
    </xf>
    <xf numFmtId="0" fontId="16" fillId="9" borderId="11" xfId="0" applyFont="1" applyFill="1" applyBorder="1" applyAlignment="1">
      <alignment horizontal="center" vertical="center"/>
    </xf>
    <xf numFmtId="0" fontId="26" fillId="0" borderId="0" xfId="0" applyFont="1"/>
    <xf numFmtId="0" fontId="4" fillId="2" borderId="0" xfId="0" applyFont="1" applyFill="1"/>
    <xf numFmtId="0" fontId="32" fillId="0" borderId="0" xfId="0" applyFont="1"/>
    <xf numFmtId="0" fontId="33" fillId="0" borderId="0" xfId="0" applyFont="1"/>
    <xf numFmtId="0" fontId="36" fillId="13" borderId="12" xfId="0" applyFont="1" applyFill="1" applyBorder="1" applyAlignment="1">
      <alignment horizontal="center" vertical="center" wrapText="1"/>
    </xf>
    <xf numFmtId="0" fontId="36" fillId="13" borderId="13" xfId="0" applyFont="1" applyFill="1" applyBorder="1" applyAlignment="1">
      <alignment horizontal="center" vertical="center" wrapText="1"/>
    </xf>
    <xf numFmtId="0" fontId="36" fillId="13" borderId="14" xfId="0" applyFont="1" applyFill="1" applyBorder="1" applyAlignment="1">
      <alignment horizontal="center" vertical="center" wrapText="1"/>
    </xf>
    <xf numFmtId="0" fontId="37" fillId="6" borderId="15" xfId="0" applyFont="1" applyFill="1" applyBorder="1" applyAlignment="1">
      <alignment horizontal="left" vertical="center" wrapText="1"/>
    </xf>
    <xf numFmtId="0" fontId="37" fillId="6" borderId="16" xfId="0" applyFont="1" applyFill="1" applyBorder="1" applyAlignment="1">
      <alignment horizontal="left" vertical="center" wrapText="1"/>
    </xf>
    <xf numFmtId="0" fontId="37" fillId="6" borderId="17" xfId="0" applyFont="1" applyFill="1" applyBorder="1" applyAlignment="1">
      <alignment horizontal="left" vertical="center" wrapText="1"/>
    </xf>
    <xf numFmtId="0" fontId="37" fillId="0" borderId="15" xfId="0" applyFont="1" applyBorder="1" applyAlignment="1">
      <alignment horizontal="left" vertical="center" wrapText="1"/>
    </xf>
    <xf numFmtId="0" fontId="37" fillId="0" borderId="16" xfId="0" applyFont="1" applyBorder="1" applyAlignment="1">
      <alignment horizontal="left" vertical="center" wrapText="1"/>
    </xf>
    <xf numFmtId="0" fontId="37" fillId="0" borderId="17" xfId="0" applyFont="1" applyBorder="1" applyAlignment="1">
      <alignment horizontal="left" vertical="center" wrapText="1"/>
    </xf>
    <xf numFmtId="0" fontId="37" fillId="0" borderId="18" xfId="0" applyFont="1" applyBorder="1" applyAlignment="1">
      <alignment horizontal="left" vertical="center" wrapText="1"/>
    </xf>
    <xf numFmtId="0" fontId="37" fillId="0" borderId="19" xfId="0" applyFont="1" applyBorder="1" applyAlignment="1">
      <alignment horizontal="left" vertical="center" wrapText="1"/>
    </xf>
    <xf numFmtId="0" fontId="37" fillId="0" borderId="20" xfId="0" applyFont="1" applyBorder="1" applyAlignment="1">
      <alignment horizontal="left" vertical="center" wrapText="1"/>
    </xf>
    <xf numFmtId="0" fontId="8" fillId="3" borderId="12" xfId="0" applyFont="1" applyFill="1" applyBorder="1" applyAlignment="1">
      <alignment horizontal="center" wrapText="1"/>
    </xf>
    <xf numFmtId="0" fontId="8" fillId="3" borderId="13" xfId="0" applyFont="1" applyFill="1" applyBorder="1" applyAlignment="1">
      <alignment horizontal="center" wrapText="1"/>
    </xf>
    <xf numFmtId="0" fontId="8" fillId="3" borderId="14" xfId="0" applyFont="1" applyFill="1" applyBorder="1" applyAlignment="1">
      <alignment horizontal="center" wrapText="1"/>
    </xf>
    <xf numFmtId="0" fontId="39" fillId="9" borderId="15" xfId="0" applyFont="1" applyFill="1" applyBorder="1" applyAlignment="1">
      <alignment vertical="top" wrapText="1"/>
    </xf>
    <xf numFmtId="0" fontId="39" fillId="9" borderId="16" xfId="0" applyFont="1" applyFill="1" applyBorder="1" applyAlignment="1">
      <alignment vertical="top" wrapText="1"/>
    </xf>
    <xf numFmtId="0" fontId="39" fillId="9" borderId="17" xfId="0" applyFont="1" applyFill="1" applyBorder="1" applyAlignment="1">
      <alignment vertical="top" wrapText="1"/>
    </xf>
    <xf numFmtId="0" fontId="32" fillId="9" borderId="15" xfId="0" applyFont="1" applyFill="1" applyBorder="1" applyAlignment="1">
      <alignment vertical="top" wrapText="1"/>
    </xf>
    <xf numFmtId="0" fontId="32" fillId="9" borderId="16" xfId="0" applyFont="1" applyFill="1" applyBorder="1" applyAlignment="1">
      <alignment vertical="top" wrapText="1"/>
    </xf>
    <xf numFmtId="0" fontId="32" fillId="9" borderId="17" xfId="0" applyFont="1" applyFill="1" applyBorder="1" applyAlignment="1">
      <alignment vertical="top" wrapText="1"/>
    </xf>
    <xf numFmtId="0" fontId="32" fillId="9" borderId="18" xfId="0" applyFont="1" applyFill="1" applyBorder="1" applyAlignment="1">
      <alignment vertical="top" wrapText="1"/>
    </xf>
    <xf numFmtId="0" fontId="32" fillId="9" borderId="19" xfId="0" applyFont="1" applyFill="1" applyBorder="1" applyAlignment="1">
      <alignment vertical="top" wrapText="1"/>
    </xf>
    <xf numFmtId="0" fontId="32" fillId="9" borderId="20" xfId="0" applyFont="1" applyFill="1" applyBorder="1" applyAlignment="1">
      <alignment vertical="top" wrapText="1"/>
    </xf>
    <xf numFmtId="0" fontId="39" fillId="5" borderId="16" xfId="0" applyFont="1" applyFill="1" applyBorder="1" applyAlignment="1">
      <alignment vertical="top" wrapText="1"/>
    </xf>
    <xf numFmtId="0" fontId="32" fillId="5" borderId="16" xfId="0" applyFont="1" applyFill="1" applyBorder="1" applyAlignment="1">
      <alignment vertical="top" wrapText="1"/>
    </xf>
    <xf numFmtId="0" fontId="39" fillId="11" borderId="16" xfId="0" applyFont="1" applyFill="1" applyBorder="1" applyAlignment="1">
      <alignment vertical="top" wrapText="1"/>
    </xf>
    <xf numFmtId="0" fontId="32" fillId="11" borderId="16" xfId="0" applyFont="1" applyFill="1" applyBorder="1" applyAlignment="1">
      <alignment vertical="top" wrapText="1"/>
    </xf>
    <xf numFmtId="0" fontId="32" fillId="11" borderId="0" xfId="0" applyFont="1" applyFill="1" applyAlignment="1">
      <alignment vertical="top" wrapText="1"/>
    </xf>
    <xf numFmtId="0" fontId="39" fillId="14" borderId="16" xfId="0" applyFont="1" applyFill="1" applyBorder="1" applyAlignment="1">
      <alignment vertical="top" wrapText="1"/>
    </xf>
    <xf numFmtId="0" fontId="32" fillId="14" borderId="16" xfId="0" applyFont="1" applyFill="1" applyBorder="1" applyAlignment="1">
      <alignment vertical="top" wrapText="1"/>
    </xf>
    <xf numFmtId="0" fontId="32" fillId="14" borderId="0" xfId="0" applyFont="1" applyFill="1" applyAlignment="1">
      <alignment vertical="top" wrapText="1"/>
    </xf>
    <xf numFmtId="0" fontId="39" fillId="12" borderId="0" xfId="0" applyFont="1" applyFill="1" applyAlignment="1">
      <alignment vertical="top" wrapText="1"/>
    </xf>
    <xf numFmtId="0" fontId="32" fillId="12" borderId="0" xfId="0" applyFont="1" applyFill="1" applyAlignment="1">
      <alignment vertical="top" wrapText="1"/>
    </xf>
    <xf numFmtId="0" fontId="8" fillId="3" borderId="0" xfId="0" applyFont="1" applyFill="1"/>
    <xf numFmtId="0" fontId="37" fillId="15" borderId="15" xfId="0" applyFont="1" applyFill="1" applyBorder="1" applyAlignment="1">
      <alignment horizontal="left" vertical="center" wrapText="1"/>
    </xf>
    <xf numFmtId="0" fontId="37" fillId="15" borderId="16" xfId="0" applyFont="1" applyFill="1" applyBorder="1" applyAlignment="1">
      <alignment horizontal="left" vertical="center" wrapText="1"/>
    </xf>
    <xf numFmtId="0" fontId="37" fillId="15" borderId="17" xfId="0" applyFont="1" applyFill="1" applyBorder="1" applyAlignment="1">
      <alignment horizontal="left" vertical="center" wrapText="1"/>
    </xf>
    <xf numFmtId="0" fontId="37" fillId="11" borderId="18" xfId="0" applyFont="1" applyFill="1" applyBorder="1" applyAlignment="1">
      <alignment horizontal="left" vertical="center" wrapText="1"/>
    </xf>
    <xf numFmtId="0" fontId="37" fillId="11" borderId="19" xfId="0" applyFont="1" applyFill="1" applyBorder="1" applyAlignment="1">
      <alignment horizontal="left" vertical="center" wrapText="1"/>
    </xf>
    <xf numFmtId="0" fontId="37" fillId="11" borderId="20" xfId="0" applyFont="1" applyFill="1" applyBorder="1" applyAlignment="1">
      <alignment horizontal="left" vertical="center" wrapText="1"/>
    </xf>
    <xf numFmtId="0" fontId="37" fillId="6" borderId="18" xfId="0" applyFont="1" applyFill="1" applyBorder="1" applyAlignment="1">
      <alignment horizontal="left" vertical="center" wrapText="1"/>
    </xf>
    <xf numFmtId="0" fontId="37" fillId="6" borderId="19" xfId="0" applyFont="1" applyFill="1" applyBorder="1" applyAlignment="1">
      <alignment horizontal="left" vertical="center" wrapText="1"/>
    </xf>
    <xf numFmtId="0" fontId="37" fillId="6" borderId="20" xfId="0" applyFont="1" applyFill="1" applyBorder="1" applyAlignment="1">
      <alignment horizontal="left" vertical="center" wrapText="1"/>
    </xf>
    <xf numFmtId="0" fontId="36" fillId="13" borderId="16" xfId="0" applyFont="1" applyFill="1" applyBorder="1" applyAlignment="1">
      <alignment horizontal="center" vertical="center" wrapText="1"/>
    </xf>
    <xf numFmtId="0" fontId="41" fillId="3" borderId="11" xfId="0" applyFont="1" applyFill="1" applyBorder="1" applyAlignment="1">
      <alignment horizontal="center" vertical="center" wrapText="1"/>
    </xf>
    <xf numFmtId="0" fontId="42" fillId="7" borderId="11" xfId="0" applyFont="1" applyFill="1" applyBorder="1" applyAlignment="1">
      <alignment horizontal="center" vertical="center"/>
    </xf>
    <xf numFmtId="0" fontId="43" fillId="7" borderId="11" xfId="0" applyFont="1" applyFill="1" applyBorder="1" applyAlignment="1">
      <alignment vertical="center" wrapText="1"/>
    </xf>
    <xf numFmtId="0" fontId="43" fillId="7" borderId="11" xfId="0" applyFont="1" applyFill="1" applyBorder="1" applyAlignment="1">
      <alignment horizontal="center" vertical="center"/>
    </xf>
    <xf numFmtId="0" fontId="44" fillId="7" borderId="11" xfId="0" applyFont="1" applyFill="1" applyBorder="1" applyAlignment="1">
      <alignment horizontal="center" vertical="center"/>
    </xf>
    <xf numFmtId="0" fontId="45" fillId="7" borderId="11" xfId="0" applyFont="1" applyFill="1" applyBorder="1" applyAlignment="1">
      <alignment horizontal="center" vertical="center"/>
    </xf>
    <xf numFmtId="0" fontId="42" fillId="16" borderId="11" xfId="0" applyFont="1" applyFill="1" applyBorder="1" applyAlignment="1">
      <alignment horizontal="center" vertical="center"/>
    </xf>
    <xf numFmtId="0" fontId="43" fillId="16" borderId="11" xfId="0" applyFont="1" applyFill="1" applyBorder="1" applyAlignment="1">
      <alignment vertical="center" wrapText="1"/>
    </xf>
    <xf numFmtId="0" fontId="43" fillId="16" borderId="11" xfId="0" applyFont="1" applyFill="1" applyBorder="1" applyAlignment="1">
      <alignment horizontal="center" vertical="center"/>
    </xf>
    <xf numFmtId="0" fontId="44" fillId="16" borderId="11" xfId="0" applyFont="1" applyFill="1" applyBorder="1" applyAlignment="1">
      <alignment horizontal="center" vertical="center"/>
    </xf>
    <xf numFmtId="0" fontId="45" fillId="16" borderId="11" xfId="0" applyFont="1" applyFill="1" applyBorder="1" applyAlignment="1">
      <alignment horizontal="center" vertical="center"/>
    </xf>
    <xf numFmtId="0" fontId="45" fillId="7" borderId="11" xfId="0" applyFont="1" applyFill="1" applyBorder="1" applyAlignment="1">
      <alignment vertical="center" wrapText="1"/>
    </xf>
    <xf numFmtId="0" fontId="43" fillId="7" borderId="11" xfId="0" applyFont="1" applyFill="1" applyBorder="1" applyAlignment="1">
      <alignment vertical="top" wrapText="1"/>
    </xf>
    <xf numFmtId="0" fontId="46" fillId="7" borderId="11" xfId="0" applyFont="1" applyFill="1" applyBorder="1" applyAlignment="1">
      <alignment vertical="top" wrapText="1"/>
    </xf>
    <xf numFmtId="0" fontId="45" fillId="16" borderId="11" xfId="0" applyFont="1" applyFill="1" applyBorder="1" applyAlignment="1">
      <alignment vertical="center" wrapText="1"/>
    </xf>
    <xf numFmtId="0" fontId="43" fillId="16" borderId="11" xfId="0" applyFont="1" applyFill="1" applyBorder="1" applyAlignment="1">
      <alignment vertical="top" wrapText="1"/>
    </xf>
    <xf numFmtId="0" fontId="46" fillId="16" borderId="11" xfId="0" applyFont="1" applyFill="1" applyBorder="1" applyAlignment="1">
      <alignment vertical="top" wrapText="1"/>
    </xf>
    <xf numFmtId="0" fontId="47" fillId="0" borderId="21" xfId="0" applyFont="1" applyBorder="1"/>
    <xf numFmtId="0" fontId="3" fillId="0" borderId="21" xfId="0" applyFont="1" applyBorder="1"/>
    <xf numFmtId="0" fontId="48" fillId="17" borderId="0" xfId="0" applyFont="1" applyFill="1"/>
    <xf numFmtId="0" fontId="3" fillId="17" borderId="0" xfId="0" applyFont="1" applyFill="1"/>
    <xf numFmtId="0" fontId="48" fillId="18" borderId="0" xfId="0" applyFont="1" applyFill="1"/>
    <xf numFmtId="0" fontId="3" fillId="0" borderId="22" xfId="0" applyFont="1" applyBorder="1"/>
    <xf numFmtId="0" fontId="3" fillId="0" borderId="23" xfId="0" applyFont="1" applyBorder="1"/>
    <xf numFmtId="0" fontId="3" fillId="0" borderId="24" xfId="0" applyFont="1" applyBorder="1"/>
    <xf numFmtId="0" fontId="3" fillId="0" borderId="10" xfId="0" applyFont="1" applyBorder="1"/>
    <xf numFmtId="0" fontId="49" fillId="0" borderId="0" xfId="0" applyFont="1"/>
    <xf numFmtId="0" fontId="51" fillId="3" borderId="10" xfId="0" applyFont="1" applyFill="1" applyBorder="1" applyAlignment="1">
      <alignment horizontal="center" vertical="center" wrapText="1"/>
    </xf>
    <xf numFmtId="0" fontId="51" fillId="2" borderId="10" xfId="0" applyFont="1" applyFill="1" applyBorder="1" applyAlignment="1">
      <alignment horizontal="center" vertical="center" wrapText="1"/>
    </xf>
    <xf numFmtId="0" fontId="49" fillId="19" borderId="10" xfId="0" applyFont="1" applyFill="1" applyBorder="1" applyAlignment="1">
      <alignment horizontal="center" vertical="center" wrapText="1"/>
    </xf>
    <xf numFmtId="0" fontId="49" fillId="20" borderId="10" xfId="0" applyFont="1" applyFill="1" applyBorder="1"/>
    <xf numFmtId="0" fontId="52" fillId="20" borderId="10" xfId="0" applyFont="1" applyFill="1" applyBorder="1"/>
    <xf numFmtId="0" fontId="52" fillId="20" borderId="10" xfId="0" applyFont="1" applyFill="1" applyBorder="1" applyAlignment="1">
      <alignment horizontal="center"/>
    </xf>
    <xf numFmtId="0" fontId="49" fillId="20" borderId="10" xfId="0" applyFont="1" applyFill="1" applyBorder="1" applyAlignment="1">
      <alignment horizontal="center"/>
    </xf>
    <xf numFmtId="0" fontId="49" fillId="0" borderId="0" xfId="0" applyFont="1" applyAlignment="1">
      <alignment horizontal="center"/>
    </xf>
    <xf numFmtId="0" fontId="49" fillId="21" borderId="10" xfId="0" applyFont="1" applyFill="1" applyBorder="1" applyAlignment="1">
      <alignment horizontal="center" vertical="center" wrapText="1"/>
    </xf>
    <xf numFmtId="0" fontId="49" fillId="0" borderId="10" xfId="0" applyFont="1" applyBorder="1"/>
    <xf numFmtId="0" fontId="52" fillId="0" borderId="10" xfId="0" applyFont="1" applyBorder="1" applyAlignment="1">
      <alignment horizontal="center"/>
    </xf>
    <xf numFmtId="0" fontId="49" fillId="0" borderId="10" xfId="0" applyFont="1" applyBorder="1" applyAlignment="1">
      <alignment horizontal="center"/>
    </xf>
    <xf numFmtId="9" fontId="52" fillId="0" borderId="10" xfId="0" applyNumberFormat="1" applyFont="1" applyBorder="1" applyAlignment="1">
      <alignment horizontal="center"/>
    </xf>
    <xf numFmtId="9" fontId="49" fillId="0" borderId="0" xfId="0" applyNumberFormat="1" applyFont="1" applyAlignment="1">
      <alignment horizontal="center"/>
    </xf>
    <xf numFmtId="0" fontId="49" fillId="9" borderId="10" xfId="0" applyFont="1" applyFill="1" applyBorder="1" applyAlignment="1">
      <alignment horizontal="center" vertical="center" wrapText="1"/>
    </xf>
    <xf numFmtId="0" fontId="52" fillId="0" borderId="10" xfId="0" applyFont="1" applyBorder="1"/>
    <xf numFmtId="0" fontId="49" fillId="0" borderId="10" xfId="0" applyFont="1" applyBorder="1" applyAlignment="1">
      <alignment horizontal="center" vertical="center" wrapText="1"/>
    </xf>
    <xf numFmtId="0" fontId="52" fillId="0" borderId="10" xfId="0" applyFont="1" applyBorder="1" applyAlignment="1">
      <alignment horizontal="center" vertical="center" wrapText="1"/>
    </xf>
    <xf numFmtId="0" fontId="49" fillId="5" borderId="10" xfId="0" applyFont="1" applyFill="1" applyBorder="1" applyAlignment="1">
      <alignment horizontal="center" vertical="center" wrapText="1"/>
    </xf>
    <xf numFmtId="0" fontId="49" fillId="11" borderId="10" xfId="0" applyFont="1" applyFill="1" applyBorder="1" applyAlignment="1">
      <alignment horizontal="center" vertical="center" wrapText="1"/>
    </xf>
    <xf numFmtId="0" fontId="52" fillId="25" borderId="10" xfId="0" applyFont="1" applyFill="1" applyBorder="1" applyAlignment="1">
      <alignment horizontal="center" vertical="center" wrapText="1"/>
    </xf>
    <xf numFmtId="0" fontId="52" fillId="20" borderId="10" xfId="0" applyFont="1" applyFill="1" applyBorder="1" applyAlignment="1">
      <alignment horizontal="center" vertical="center" wrapText="1"/>
    </xf>
    <xf numFmtId="165" fontId="43" fillId="7" borderId="11" xfId="0" applyNumberFormat="1" applyFont="1" applyFill="1" applyBorder="1" applyAlignment="1">
      <alignment horizontal="center" vertical="center"/>
    </xf>
    <xf numFmtId="0" fontId="52" fillId="26" borderId="10" xfId="0" applyFont="1" applyFill="1" applyBorder="1" applyAlignment="1">
      <alignment horizontal="center" vertical="center" wrapText="1"/>
    </xf>
    <xf numFmtId="164" fontId="52" fillId="26" borderId="10" xfId="0" applyNumberFormat="1" applyFont="1" applyFill="1" applyBorder="1" applyAlignment="1">
      <alignment horizontal="center" vertical="center" wrapText="1"/>
    </xf>
    <xf numFmtId="165" fontId="52" fillId="26" borderId="10" xfId="0" applyNumberFormat="1" applyFont="1" applyFill="1" applyBorder="1" applyAlignment="1">
      <alignment horizontal="center" vertical="center" wrapText="1"/>
    </xf>
    <xf numFmtId="164" fontId="49" fillId="0" borderId="0" xfId="0" applyNumberFormat="1" applyFont="1" applyAlignment="1">
      <alignment horizontal="center"/>
    </xf>
    <xf numFmtId="165" fontId="49" fillId="0" borderId="0" xfId="0" applyNumberFormat="1" applyFont="1" applyAlignment="1">
      <alignment horizontal="center"/>
    </xf>
    <xf numFmtId="0" fontId="28" fillId="2" borderId="0" xfId="0" applyFont="1" applyFill="1" applyAlignment="1">
      <alignment horizontal="left"/>
    </xf>
    <xf numFmtId="0" fontId="3" fillId="2" borderId="0" xfId="0" applyFont="1" applyFill="1"/>
    <xf numFmtId="0" fontId="34" fillId="2" borderId="0" xfId="0" applyFont="1" applyFill="1" applyAlignment="1">
      <alignment horizontal="left"/>
    </xf>
    <xf numFmtId="0" fontId="54" fillId="19" borderId="22" xfId="0" applyFont="1" applyFill="1" applyBorder="1" applyAlignment="1">
      <alignment horizontal="left"/>
    </xf>
    <xf numFmtId="0" fontId="55" fillId="19" borderId="22" xfId="0" applyFont="1" applyFill="1" applyBorder="1" applyAlignment="1">
      <alignment horizontal="center"/>
    </xf>
    <xf numFmtId="9" fontId="55" fillId="19" borderId="22" xfId="0" applyNumberFormat="1" applyFont="1" applyFill="1" applyBorder="1" applyAlignment="1">
      <alignment horizontal="center"/>
    </xf>
    <xf numFmtId="0" fontId="56" fillId="19" borderId="23" xfId="0" applyFont="1" applyFill="1" applyBorder="1" applyAlignment="1">
      <alignment horizontal="center"/>
    </xf>
    <xf numFmtId="0" fontId="8" fillId="27" borderId="22" xfId="0" applyFont="1" applyFill="1" applyBorder="1" applyAlignment="1">
      <alignment horizontal="left"/>
    </xf>
    <xf numFmtId="0" fontId="57" fillId="27" borderId="22" xfId="0" applyFont="1" applyFill="1" applyBorder="1" applyAlignment="1">
      <alignment horizontal="center"/>
    </xf>
    <xf numFmtId="9" fontId="57" fillId="27" borderId="23" xfId="0" applyNumberFormat="1" applyFont="1" applyFill="1" applyBorder="1" applyAlignment="1">
      <alignment horizontal="center"/>
    </xf>
    <xf numFmtId="0" fontId="54" fillId="28" borderId="22" xfId="0" applyFont="1" applyFill="1" applyBorder="1" applyAlignment="1">
      <alignment horizontal="left"/>
    </xf>
    <xf numFmtId="0" fontId="55" fillId="28" borderId="22" xfId="0" applyFont="1" applyFill="1" applyBorder="1" applyAlignment="1">
      <alignment horizontal="center"/>
    </xf>
    <xf numFmtId="9" fontId="55" fillId="28" borderId="22" xfId="0" applyNumberFormat="1" applyFont="1" applyFill="1" applyBorder="1" applyAlignment="1">
      <alignment horizontal="center"/>
    </xf>
    <xf numFmtId="0" fontId="58" fillId="28" borderId="23" xfId="0" applyFont="1" applyFill="1" applyBorder="1" applyAlignment="1">
      <alignment horizontal="center"/>
    </xf>
    <xf numFmtId="0" fontId="8" fillId="29" borderId="22" xfId="0" applyFont="1" applyFill="1" applyBorder="1" applyAlignment="1">
      <alignment horizontal="left"/>
    </xf>
    <xf numFmtId="0" fontId="57" fillId="29" borderId="22" xfId="0" applyFont="1" applyFill="1" applyBorder="1" applyAlignment="1">
      <alignment horizontal="center"/>
    </xf>
    <xf numFmtId="9" fontId="57" fillId="29" borderId="23" xfId="0" applyNumberFormat="1" applyFont="1" applyFill="1" applyBorder="1" applyAlignment="1">
      <alignment horizontal="center"/>
    </xf>
    <xf numFmtId="0" fontId="54" fillId="30" borderId="22" xfId="0" applyFont="1" applyFill="1" applyBorder="1" applyAlignment="1">
      <alignment horizontal="left"/>
    </xf>
    <xf numFmtId="0" fontId="55" fillId="30" borderId="22" xfId="0" applyFont="1" applyFill="1" applyBorder="1" applyAlignment="1">
      <alignment horizontal="center"/>
    </xf>
    <xf numFmtId="9" fontId="55" fillId="30" borderId="22" xfId="0" applyNumberFormat="1" applyFont="1" applyFill="1" applyBorder="1" applyAlignment="1">
      <alignment horizontal="center"/>
    </xf>
    <xf numFmtId="0" fontId="59" fillId="30" borderId="23" xfId="0" applyFont="1" applyFill="1" applyBorder="1" applyAlignment="1">
      <alignment horizontal="center"/>
    </xf>
    <xf numFmtId="0" fontId="54" fillId="31" borderId="22" xfId="0" applyFont="1" applyFill="1" applyBorder="1" applyAlignment="1">
      <alignment horizontal="left"/>
    </xf>
    <xf numFmtId="0" fontId="55" fillId="31" borderId="22" xfId="0" applyFont="1" applyFill="1" applyBorder="1" applyAlignment="1">
      <alignment horizontal="center"/>
    </xf>
    <xf numFmtId="9" fontId="55" fillId="31" borderId="23" xfId="0" applyNumberFormat="1" applyFont="1" applyFill="1" applyBorder="1" applyAlignment="1">
      <alignment horizontal="center"/>
    </xf>
    <xf numFmtId="0" fontId="54" fillId="32" borderId="22" xfId="0" applyFont="1" applyFill="1" applyBorder="1" applyAlignment="1">
      <alignment horizontal="left"/>
    </xf>
    <xf numFmtId="0" fontId="55" fillId="32" borderId="22" xfId="0" applyFont="1" applyFill="1" applyBorder="1" applyAlignment="1">
      <alignment horizontal="center"/>
    </xf>
    <xf numFmtId="9" fontId="55" fillId="32" borderId="22" xfId="0" applyNumberFormat="1" applyFont="1" applyFill="1" applyBorder="1" applyAlignment="1">
      <alignment horizontal="center"/>
    </xf>
    <xf numFmtId="0" fontId="60" fillId="32" borderId="23" xfId="0" applyFont="1" applyFill="1" applyBorder="1" applyAlignment="1">
      <alignment horizontal="center"/>
    </xf>
    <xf numFmtId="0" fontId="54" fillId="4" borderId="25" xfId="0" applyFont="1" applyFill="1" applyBorder="1" applyAlignment="1">
      <alignment horizontal="left"/>
    </xf>
    <xf numFmtId="0" fontId="54" fillId="4" borderId="25" xfId="0" applyFont="1" applyFill="1" applyBorder="1" applyAlignment="1">
      <alignment horizontal="center"/>
    </xf>
    <xf numFmtId="9" fontId="54" fillId="4" borderId="26" xfId="0" applyNumberFormat="1" applyFont="1" applyFill="1" applyBorder="1" applyAlignment="1">
      <alignment horizontal="center"/>
    </xf>
    <xf numFmtId="9" fontId="54" fillId="4" borderId="25" xfId="0" applyNumberFormat="1" applyFont="1" applyFill="1" applyBorder="1" applyAlignment="1">
      <alignment horizontal="center"/>
    </xf>
    <xf numFmtId="0" fontId="3" fillId="4" borderId="26" xfId="0" applyFont="1" applyFill="1" applyBorder="1"/>
    <xf numFmtId="0" fontId="3" fillId="7" borderId="0" xfId="0" applyFont="1" applyFill="1"/>
    <xf numFmtId="0" fontId="49" fillId="0" borderId="10" xfId="0" applyFont="1" applyBorder="1" applyAlignment="1">
      <alignment vertical="top" wrapText="1"/>
    </xf>
    <xf numFmtId="0" fontId="49" fillId="21" borderId="10" xfId="0" applyFont="1" applyFill="1" applyBorder="1" applyAlignment="1">
      <alignment horizontal="center" vertical="center"/>
    </xf>
    <xf numFmtId="0" fontId="49" fillId="21" borderId="10" xfId="0" applyFont="1" applyFill="1" applyBorder="1" applyAlignment="1">
      <alignment vertical="top" wrapText="1"/>
    </xf>
    <xf numFmtId="0" fontId="49" fillId="0" borderId="10" xfId="0" applyFont="1" applyBorder="1" applyAlignment="1">
      <alignment horizontal="center" vertical="center"/>
    </xf>
    <xf numFmtId="0" fontId="51" fillId="33" borderId="10" xfId="0" applyFont="1" applyFill="1" applyBorder="1" applyAlignment="1">
      <alignment horizontal="center" vertical="center" wrapText="1"/>
    </xf>
    <xf numFmtId="0" fontId="64" fillId="0" borderId="10" xfId="0" applyFont="1" applyBorder="1"/>
    <xf numFmtId="0" fontId="64" fillId="22" borderId="10" xfId="0" applyFont="1" applyFill="1" applyBorder="1" applyAlignment="1">
      <alignment horizontal="center" vertical="center" wrapText="1"/>
    </xf>
    <xf numFmtId="0" fontId="64" fillId="3" borderId="10" xfId="0" applyFont="1" applyFill="1" applyBorder="1" applyAlignment="1">
      <alignment horizontal="center" vertical="center" wrapText="1"/>
    </xf>
    <xf numFmtId="0" fontId="64" fillId="2" borderId="10" xfId="0" applyFont="1" applyFill="1" applyBorder="1" applyAlignment="1">
      <alignment horizontal="center" vertical="center" wrapText="1"/>
    </xf>
    <xf numFmtId="0" fontId="62" fillId="0" borderId="10" xfId="0" applyFont="1" applyBorder="1" applyAlignment="1">
      <alignment horizontal="center" vertical="center" wrapText="1"/>
    </xf>
    <xf numFmtId="0" fontId="52" fillId="0" borderId="10" xfId="0" applyFont="1" applyBorder="1" applyAlignment="1">
      <alignment horizontal="center" vertical="center"/>
    </xf>
    <xf numFmtId="0" fontId="52" fillId="15" borderId="10" xfId="0" applyFont="1" applyFill="1" applyBorder="1" applyAlignment="1">
      <alignment horizontal="center" vertical="center" wrapText="1"/>
    </xf>
    <xf numFmtId="0" fontId="62" fillId="0" borderId="0" xfId="0" applyFont="1"/>
    <xf numFmtId="0" fontId="49" fillId="2" borderId="10" xfId="0" applyFont="1" applyFill="1" applyBorder="1" applyAlignment="1">
      <alignment vertical="top" wrapText="1"/>
    </xf>
    <xf numFmtId="0" fontId="49" fillId="2" borderId="10" xfId="0" applyFont="1" applyFill="1" applyBorder="1" applyAlignment="1">
      <alignment horizontal="center" vertical="center"/>
    </xf>
    <xf numFmtId="0" fontId="52" fillId="0" borderId="10" xfId="0" applyFont="1" applyBorder="1" applyAlignment="1">
      <alignment vertical="top" wrapText="1"/>
    </xf>
    <xf numFmtId="0" fontId="62" fillId="23" borderId="10" xfId="0" applyFont="1" applyFill="1" applyBorder="1" applyAlignment="1">
      <alignment horizontal="center" vertical="center" wrapText="1"/>
    </xf>
    <xf numFmtId="0" fontId="62" fillId="3" borderId="10" xfId="0" applyFont="1" applyFill="1" applyBorder="1" applyAlignment="1">
      <alignment horizontal="center" vertical="center" wrapText="1"/>
    </xf>
    <xf numFmtId="0" fontId="66" fillId="0" borderId="0" xfId="0" applyFont="1"/>
    <xf numFmtId="0" fontId="67" fillId="0" borderId="0" xfId="0" applyFont="1"/>
    <xf numFmtId="0" fontId="68" fillId="0" borderId="0" xfId="0" applyFont="1"/>
    <xf numFmtId="0" fontId="68" fillId="0" borderId="10" xfId="0" applyFont="1" applyBorder="1"/>
    <xf numFmtId="0" fontId="69" fillId="2" borderId="0" xfId="0" applyFont="1" applyFill="1" applyAlignment="1">
      <alignment horizontal="left"/>
    </xf>
    <xf numFmtId="164" fontId="51" fillId="2" borderId="10" xfId="0" applyNumberFormat="1" applyFont="1" applyFill="1" applyBorder="1" applyAlignment="1">
      <alignment horizontal="center" vertical="center" wrapText="1"/>
    </xf>
    <xf numFmtId="0" fontId="57" fillId="2" borderId="23" xfId="0" applyFont="1" applyFill="1" applyBorder="1" applyAlignment="1">
      <alignment horizontal="center"/>
    </xf>
    <xf numFmtId="164" fontId="49" fillId="0" borderId="10" xfId="0" applyNumberFormat="1" applyFont="1" applyBorder="1" applyAlignment="1">
      <alignment vertical="top" wrapText="1"/>
    </xf>
    <xf numFmtId="0" fontId="52" fillId="4" borderId="10" xfId="0" applyFont="1" applyFill="1" applyBorder="1" applyAlignment="1">
      <alignment vertical="top" wrapText="1"/>
    </xf>
    <xf numFmtId="0" fontId="49" fillId="4" borderId="10" xfId="0" applyFont="1" applyFill="1" applyBorder="1" applyAlignment="1">
      <alignment vertical="top" wrapText="1"/>
    </xf>
    <xf numFmtId="164" fontId="49" fillId="4" borderId="10" xfId="0" applyNumberFormat="1" applyFont="1" applyFill="1" applyBorder="1" applyAlignment="1">
      <alignment vertical="top" wrapText="1"/>
    </xf>
    <xf numFmtId="9" fontId="49" fillId="0" borderId="10" xfId="0" applyNumberFormat="1" applyFont="1" applyBorder="1" applyAlignment="1">
      <alignment vertical="top" wrapText="1"/>
    </xf>
    <xf numFmtId="9" fontId="52" fillId="0" borderId="10" xfId="0" applyNumberFormat="1" applyFont="1" applyBorder="1" applyAlignment="1">
      <alignment vertical="top" wrapText="1"/>
    </xf>
    <xf numFmtId="166" fontId="54" fillId="4" borderId="25" xfId="0" applyNumberFormat="1" applyFont="1" applyFill="1" applyBorder="1" applyAlignment="1">
      <alignment horizontal="center"/>
    </xf>
    <xf numFmtId="0" fontId="30" fillId="2" borderId="0" xfId="0" applyFont="1" applyFill="1" applyAlignment="1">
      <alignment horizontal="center" vertical="center" wrapText="1"/>
    </xf>
    <xf numFmtId="0" fontId="52" fillId="0" borderId="0" xfId="0" applyFont="1"/>
    <xf numFmtId="0" fontId="71" fillId="17" borderId="0" xfId="0" applyFont="1" applyFill="1"/>
    <xf numFmtId="0" fontId="52" fillId="17" borderId="0" xfId="0" applyFont="1" applyFill="1"/>
    <xf numFmtId="0" fontId="51" fillId="2" borderId="10" xfId="0" applyFont="1" applyFill="1" applyBorder="1"/>
    <xf numFmtId="0" fontId="51" fillId="2" borderId="10" xfId="0" applyFont="1" applyFill="1" applyBorder="1" applyAlignment="1">
      <alignment horizontal="center" vertical="center"/>
    </xf>
    <xf numFmtId="0" fontId="30" fillId="7" borderId="0" xfId="0" applyFont="1" applyFill="1"/>
    <xf numFmtId="0" fontId="27" fillId="7" borderId="0" xfId="0" applyFont="1" applyFill="1"/>
    <xf numFmtId="0" fontId="72" fillId="6" borderId="0" xfId="0" applyFont="1" applyFill="1" applyAlignment="1">
      <alignment vertical="top" wrapText="1"/>
    </xf>
    <xf numFmtId="0" fontId="51" fillId="2" borderId="0" xfId="0" applyFont="1" applyFill="1"/>
    <xf numFmtId="0" fontId="51" fillId="34" borderId="0" xfId="0" applyFont="1" applyFill="1"/>
    <xf numFmtId="0" fontId="74" fillId="2" borderId="10" xfId="0" applyFont="1" applyFill="1" applyBorder="1" applyAlignment="1">
      <alignment horizontal="center" vertical="center" wrapText="1"/>
    </xf>
    <xf numFmtId="0" fontId="75" fillId="0" borderId="10" xfId="0" applyFont="1" applyBorder="1" applyAlignment="1">
      <alignment horizontal="center" vertical="center" wrapText="1"/>
    </xf>
    <xf numFmtId="9" fontId="49" fillId="0" borderId="10" xfId="0" applyNumberFormat="1" applyFont="1" applyBorder="1" applyAlignment="1">
      <alignment horizontal="center" vertical="center"/>
    </xf>
    <xf numFmtId="9" fontId="52" fillId="0" borderId="10" xfId="0" applyNumberFormat="1" applyFont="1" applyBorder="1" applyAlignment="1">
      <alignment horizontal="center" vertical="center"/>
    </xf>
    <xf numFmtId="0" fontId="43" fillId="35" borderId="11" xfId="0" applyFont="1" applyFill="1" applyBorder="1" applyAlignment="1">
      <alignment horizontal="center" vertical="center"/>
    </xf>
    <xf numFmtId="0" fontId="43" fillId="36" borderId="11" xfId="0" applyFont="1" applyFill="1" applyBorder="1" applyAlignment="1">
      <alignment horizontal="center" vertical="center"/>
    </xf>
    <xf numFmtId="0" fontId="43" fillId="35" borderId="11" xfId="0" applyFont="1" applyFill="1" applyBorder="1" applyAlignment="1">
      <alignment vertical="center" wrapText="1"/>
    </xf>
    <xf numFmtId="0" fontId="43" fillId="36" borderId="11" xfId="0" applyFont="1" applyFill="1" applyBorder="1" applyAlignment="1">
      <alignment vertical="center" wrapText="1"/>
    </xf>
    <xf numFmtId="0" fontId="2" fillId="2" borderId="0" xfId="0" applyFont="1" applyFill="1" applyAlignment="1">
      <alignment horizontal="center" vertical="center"/>
    </xf>
    <xf numFmtId="0" fontId="4" fillId="3" borderId="1" xfId="0" applyFont="1" applyFill="1" applyBorder="1" applyAlignment="1">
      <alignment horizontal="left" vertical="center"/>
    </xf>
    <xf numFmtId="0" fontId="8" fillId="3" borderId="7" xfId="0" applyFont="1" applyFill="1" applyBorder="1" applyAlignment="1">
      <alignment horizontal="center" vertical="center"/>
    </xf>
    <xf numFmtId="0" fontId="8" fillId="3" borderId="1" xfId="0" applyFont="1" applyFill="1" applyBorder="1" applyAlignment="1">
      <alignment horizontal="center" vertical="center"/>
    </xf>
    <xf numFmtId="0" fontId="3" fillId="0" borderId="0" xfId="0" applyFont="1" applyAlignment="1">
      <alignment vertical="center"/>
    </xf>
    <xf numFmtId="0" fontId="23" fillId="3" borderId="1" xfId="0" applyFont="1" applyFill="1" applyBorder="1" applyAlignment="1">
      <alignment horizontal="left" vertical="center"/>
    </xf>
    <xf numFmtId="0" fontId="3" fillId="0" borderId="8" xfId="0" applyFont="1" applyBorder="1"/>
    <xf numFmtId="0" fontId="17" fillId="4" borderId="0" xfId="0" applyFont="1" applyFill="1" applyAlignment="1">
      <alignment horizontal="left" vertical="center"/>
    </xf>
    <xf numFmtId="0" fontId="10" fillId="6" borderId="0" xfId="0" applyFont="1" applyFill="1" applyAlignment="1">
      <alignment horizontal="left" vertical="center"/>
    </xf>
    <xf numFmtId="0" fontId="10" fillId="7" borderId="0" xfId="0" applyFont="1" applyFill="1" applyAlignment="1">
      <alignment horizontal="left" vertical="center"/>
    </xf>
    <xf numFmtId="0" fontId="28" fillId="2" borderId="0" xfId="0" applyFont="1" applyFill="1" applyAlignment="1">
      <alignment horizontal="center" vertical="center"/>
    </xf>
    <xf numFmtId="0" fontId="29" fillId="3" borderId="0" xfId="0" applyFont="1" applyFill="1" applyAlignment="1">
      <alignment horizontal="center" vertical="center" wrapText="1"/>
    </xf>
    <xf numFmtId="0" fontId="31" fillId="3" borderId="0" xfId="0" applyFont="1" applyFill="1" applyAlignment="1">
      <alignment horizontal="center" vertical="center"/>
    </xf>
    <xf numFmtId="0" fontId="10" fillId="9" borderId="0" xfId="0" applyFont="1" applyFill="1" applyAlignment="1">
      <alignment vertical="top" wrapText="1"/>
    </xf>
    <xf numFmtId="0" fontId="10" fillId="11" borderId="11" xfId="0" applyFont="1" applyFill="1" applyBorder="1" applyAlignment="1">
      <alignment vertical="center" wrapText="1"/>
    </xf>
    <xf numFmtId="0" fontId="10" fillId="7" borderId="11" xfId="0" applyFont="1" applyFill="1" applyBorder="1" applyAlignment="1">
      <alignment vertical="center" wrapText="1"/>
    </xf>
    <xf numFmtId="0" fontId="10" fillId="7" borderId="0" xfId="0" applyFont="1" applyFill="1" applyAlignment="1">
      <alignment vertical="center" wrapText="1"/>
    </xf>
    <xf numFmtId="0" fontId="10" fillId="5" borderId="0" xfId="0" applyFont="1" applyFill="1" applyAlignment="1">
      <alignment vertical="center" wrapText="1"/>
    </xf>
    <xf numFmtId="0" fontId="28" fillId="2" borderId="0" xfId="0" applyFont="1" applyFill="1"/>
    <xf numFmtId="0" fontId="40" fillId="0" borderId="0" xfId="0" applyFont="1"/>
    <xf numFmtId="0" fontId="38" fillId="0" borderId="0" xfId="0" applyFont="1"/>
    <xf numFmtId="0" fontId="31" fillId="2" borderId="0" xfId="0" applyFont="1" applyFill="1" applyAlignment="1">
      <alignment horizontal="center" vertical="center" wrapText="1"/>
    </xf>
    <xf numFmtId="0" fontId="34" fillId="3" borderId="0" xfId="0" applyFont="1" applyFill="1" applyAlignment="1">
      <alignment horizontal="left" vertical="center"/>
    </xf>
    <xf numFmtId="0" fontId="35" fillId="0" borderId="0" xfId="0" applyFont="1" applyAlignment="1">
      <alignment horizontal="left" vertical="center" wrapText="1"/>
    </xf>
    <xf numFmtId="0" fontId="38" fillId="3" borderId="0" xfId="0" applyFont="1" applyFill="1" applyAlignment="1">
      <alignment horizontal="left" vertical="center"/>
    </xf>
    <xf numFmtId="0" fontId="30" fillId="0" borderId="0" xfId="0" applyFont="1"/>
    <xf numFmtId="0" fontId="23" fillId="3" borderId="0" xfId="0" applyFont="1" applyFill="1"/>
    <xf numFmtId="0" fontId="28" fillId="2" borderId="27" xfId="0" applyFont="1" applyFill="1" applyBorder="1" applyAlignment="1">
      <alignment horizontal="center" vertical="center"/>
    </xf>
    <xf numFmtId="0" fontId="70" fillId="4" borderId="0" xfId="0" applyFont="1" applyFill="1" applyAlignment="1">
      <alignment horizontal="center" vertical="center" wrapText="1"/>
    </xf>
    <xf numFmtId="0" fontId="8" fillId="2" borderId="22" xfId="0" applyFont="1" applyFill="1" applyBorder="1" applyAlignment="1">
      <alignment horizontal="center"/>
    </xf>
    <xf numFmtId="0" fontId="28" fillId="2" borderId="0" xfId="0" applyFont="1" applyFill="1" applyAlignment="1">
      <alignment horizontal="center" vertical="center" wrapText="1"/>
    </xf>
    <xf numFmtId="0" fontId="50" fillId="3" borderId="0" xfId="0" applyFont="1" applyFill="1" applyAlignment="1">
      <alignment horizontal="center" vertical="center" wrapText="1"/>
    </xf>
    <xf numFmtId="0" fontId="51" fillId="3" borderId="10" xfId="0" applyFont="1" applyFill="1" applyBorder="1" applyAlignment="1">
      <alignment horizontal="center" vertical="center" wrapText="1"/>
    </xf>
    <xf numFmtId="0" fontId="51" fillId="22" borderId="10" xfId="0" applyFont="1" applyFill="1" applyBorder="1" applyAlignment="1">
      <alignment horizontal="center" vertical="center" wrapText="1"/>
    </xf>
    <xf numFmtId="0" fontId="53" fillId="0" borderId="0" xfId="0" applyFont="1"/>
    <xf numFmtId="0" fontId="51" fillId="23" borderId="10" xfId="0" applyFont="1" applyFill="1" applyBorder="1" applyAlignment="1">
      <alignment horizontal="center" vertical="center" wrapText="1"/>
    </xf>
    <xf numFmtId="0" fontId="51" fillId="24" borderId="10" xfId="0" applyFont="1" applyFill="1" applyBorder="1" applyAlignment="1">
      <alignment horizontal="center" vertical="center" wrapText="1"/>
    </xf>
    <xf numFmtId="0" fontId="51" fillId="3" borderId="0" xfId="0" applyFont="1" applyFill="1"/>
    <xf numFmtId="0" fontId="51" fillId="3" borderId="0" xfId="0" applyFont="1" applyFill="1" applyAlignment="1">
      <alignment horizontal="center"/>
    </xf>
    <xf numFmtId="0" fontId="51" fillId="23" borderId="0" xfId="0" applyFont="1" applyFill="1"/>
    <xf numFmtId="0" fontId="51" fillId="24" borderId="0" xfId="0" applyFont="1" applyFill="1"/>
    <xf numFmtId="0" fontId="61" fillId="0" borderId="0" xfId="0" applyFont="1"/>
    <xf numFmtId="0" fontId="61" fillId="21" borderId="10" xfId="0" applyFont="1" applyFill="1" applyBorder="1" applyAlignment="1">
      <alignment horizontal="center" vertical="center" wrapText="1"/>
    </xf>
    <xf numFmtId="0" fontId="62" fillId="21" borderId="10" xfId="0" applyFont="1" applyFill="1" applyBorder="1" applyAlignment="1">
      <alignment horizontal="center" vertical="center" wrapText="1"/>
    </xf>
    <xf numFmtId="0" fontId="63" fillId="3" borderId="10" xfId="0" applyFont="1" applyFill="1" applyBorder="1" applyAlignment="1">
      <alignment horizontal="center" vertical="center" wrapText="1"/>
    </xf>
    <xf numFmtId="0" fontId="65" fillId="3" borderId="10" xfId="0" applyFont="1" applyFill="1" applyBorder="1" applyAlignment="1">
      <alignment horizontal="center" vertical="center" wrapText="1"/>
    </xf>
    <xf numFmtId="0" fontId="51" fillId="3" borderId="10" xfId="0" applyFont="1" applyFill="1" applyBorder="1"/>
    <xf numFmtId="0" fontId="61" fillId="0" borderId="10" xfId="0" applyFont="1" applyBorder="1" applyAlignment="1">
      <alignment horizontal="center" vertical="center" wrapText="1"/>
    </xf>
    <xf numFmtId="0" fontId="65" fillId="0" borderId="0" xfId="0" applyFont="1"/>
    <xf numFmtId="0" fontId="51" fillId="3" borderId="10" xfId="0" applyFont="1" applyFill="1" applyBorder="1" applyAlignment="1">
      <alignment horizontal="center"/>
    </xf>
    <xf numFmtId="0" fontId="51" fillId="3" borderId="10" xfId="0" applyFont="1" applyFill="1" applyBorder="1" applyAlignment="1">
      <alignment horizontal="left"/>
    </xf>
    <xf numFmtId="0" fontId="73" fillId="10" borderId="0" xfId="0" applyFont="1" applyFill="1" applyAlignment="1">
      <alignment horizontal="center" vertical="center" wrapText="1"/>
    </xf>
  </cellXfs>
  <cellStyles count="1">
    <cellStyle name="Normal" xfId="0" builtinId="0"/>
  </cellStyles>
  <dxfs count="36">
    <dxf>
      <font>
        <sz val="9"/>
        <color rgb="FFC65911"/>
        <name val="Arial"/>
        <charset val="1"/>
      </font>
      <fill>
        <patternFill>
          <bgColor rgb="FFFCE4D6"/>
        </patternFill>
      </fill>
    </dxf>
    <dxf>
      <font>
        <b/>
        <sz val="9"/>
        <color rgb="FF9C0006"/>
        <name val="Arial"/>
        <charset val="1"/>
      </font>
      <fill>
        <patternFill>
          <bgColor rgb="FFFFC7CE"/>
        </patternFill>
      </fill>
    </dxf>
    <dxf>
      <font>
        <sz val="9"/>
        <color rgb="FFC65911"/>
        <name val="Arial"/>
        <charset val="1"/>
      </font>
      <fill>
        <patternFill>
          <bgColor rgb="FFFCE4D6"/>
        </patternFill>
      </fill>
    </dxf>
    <dxf>
      <font>
        <sz val="9"/>
        <color rgb="FF1F4E78"/>
        <name val="Arial"/>
        <charset val="1"/>
      </font>
      <fill>
        <patternFill>
          <bgColor rgb="FFD6E4F0"/>
        </patternFill>
      </fill>
    </dxf>
    <dxf>
      <font>
        <sz val="9"/>
        <color rgb="FF006100"/>
        <name val="Arial"/>
        <charset val="1"/>
      </font>
      <fill>
        <patternFill>
          <bgColor rgb="FFC6EFCE"/>
        </patternFill>
      </fill>
    </dxf>
    <dxf>
      <font>
        <sz val="9"/>
        <color rgb="FF666666"/>
        <name val="Arial"/>
        <charset val="1"/>
      </font>
      <fill>
        <patternFill>
          <bgColor rgb="FFEDEDED"/>
        </patternFill>
      </fill>
    </dxf>
    <dxf>
      <font>
        <sz val="9"/>
        <color rgb="FFC65911"/>
        <name val="Arial"/>
        <charset val="1"/>
      </font>
      <fill>
        <patternFill>
          <bgColor rgb="FFFCE4D6"/>
        </patternFill>
      </fill>
    </dxf>
    <dxf>
      <font>
        <sz val="9"/>
        <color rgb="FF006100"/>
        <name val="Arial"/>
        <charset val="1"/>
      </font>
      <fill>
        <patternFill>
          <bgColor rgb="FFC6EFCE"/>
        </patternFill>
      </fill>
    </dxf>
    <dxf>
      <font>
        <sz val="9"/>
        <color rgb="FF006100"/>
        <name val="Arial"/>
        <charset val="1"/>
      </font>
      <fill>
        <patternFill>
          <bgColor rgb="FFC6EFCE"/>
        </patternFill>
      </fill>
    </dxf>
    <dxf>
      <fill>
        <patternFill>
          <bgColor rgb="FFFFFF00"/>
        </patternFill>
      </fill>
    </dxf>
    <dxf>
      <fill>
        <patternFill>
          <bgColor rgb="FFBDD7EE"/>
        </patternFill>
      </fill>
    </dxf>
    <dxf>
      <fill>
        <patternFill>
          <bgColor rgb="FF00B050"/>
        </patternFill>
      </fill>
    </dxf>
    <dxf>
      <font>
        <sz val="9"/>
        <color rgb="FF666666"/>
        <name val="Arial"/>
        <charset val="1"/>
      </font>
      <fill>
        <patternFill>
          <bgColor rgb="FFEDEDED"/>
        </patternFill>
      </fill>
    </dxf>
    <dxf>
      <font>
        <sz val="9"/>
        <color rgb="FFC65911"/>
        <name val="Arial"/>
        <charset val="1"/>
      </font>
      <fill>
        <patternFill>
          <bgColor rgb="FFFCE4D6"/>
        </patternFill>
      </fill>
    </dxf>
    <dxf>
      <font>
        <sz val="9"/>
        <color rgb="FF006100"/>
        <name val="Arial"/>
        <charset val="1"/>
      </font>
      <fill>
        <patternFill>
          <bgColor rgb="FFC6EFCE"/>
        </patternFill>
      </fill>
    </dxf>
    <dxf>
      <font>
        <sz val="9"/>
        <color rgb="FF006100"/>
        <name val="Arial"/>
        <charset val="1"/>
      </font>
      <fill>
        <patternFill>
          <bgColor rgb="FFC6EFCE"/>
        </patternFill>
      </fill>
    </dxf>
    <dxf>
      <font>
        <sz val="9"/>
        <color rgb="FF1F4E78"/>
        <name val="Arial"/>
        <charset val="1"/>
      </font>
      <fill>
        <patternFill>
          <bgColor rgb="FFD6E4F0"/>
        </patternFill>
      </fill>
    </dxf>
    <dxf>
      <font>
        <sz val="9"/>
        <color rgb="FF006100"/>
        <name val="Arial"/>
        <charset val="1"/>
      </font>
      <fill>
        <patternFill>
          <bgColor rgb="FFC6EFCE"/>
        </patternFill>
      </fill>
    </dxf>
    <dxf>
      <font>
        <sz val="9"/>
        <color rgb="FF666666"/>
        <name val="Arial"/>
        <charset val="1"/>
      </font>
      <fill>
        <patternFill>
          <bgColor rgb="FFEDEDED"/>
        </patternFill>
      </fill>
    </dxf>
    <dxf>
      <font>
        <sz val="9"/>
        <color rgb="FFC65911"/>
        <name val="Arial"/>
        <charset val="1"/>
      </font>
      <fill>
        <patternFill>
          <bgColor rgb="FFFCE4D6"/>
        </patternFill>
      </fill>
    </dxf>
    <dxf>
      <font>
        <sz val="9"/>
        <color rgb="FF006100"/>
        <name val="Arial"/>
        <charset val="1"/>
      </font>
      <fill>
        <patternFill>
          <bgColor rgb="FFC6EFCE"/>
        </patternFill>
      </fill>
    </dxf>
    <dxf>
      <font>
        <sz val="9"/>
        <color rgb="FF006100"/>
        <name val="Arial"/>
        <charset val="1"/>
      </font>
      <fill>
        <patternFill>
          <bgColor rgb="FFC6EFCE"/>
        </patternFill>
      </fill>
    </dxf>
    <dxf>
      <fill>
        <patternFill>
          <bgColor rgb="FFBDD7EE"/>
        </patternFill>
      </fill>
    </dxf>
    <dxf>
      <fill>
        <patternFill>
          <bgColor rgb="FFD3D3D3"/>
        </patternFill>
      </fill>
    </dxf>
    <dxf>
      <fill>
        <patternFill>
          <bgColor rgb="FFC6EFCE"/>
        </patternFill>
      </fill>
    </dxf>
    <dxf>
      <font>
        <b/>
        <sz val="10"/>
        <color rgb="FF9C6500"/>
        <name val="Arial"/>
        <charset val="1"/>
      </font>
      <fill>
        <patternFill>
          <bgColor rgb="FFFFEB9C"/>
        </patternFill>
      </fill>
    </dxf>
    <dxf>
      <font>
        <sz val="9"/>
        <color rgb="FF666666"/>
        <name val="Arial"/>
        <charset val="1"/>
      </font>
      <fill>
        <patternFill>
          <bgColor rgb="FFEDEDED"/>
        </patternFill>
      </fill>
    </dxf>
    <dxf>
      <font>
        <sz val="9"/>
        <color rgb="FFC65911"/>
        <name val="Arial"/>
        <charset val="1"/>
      </font>
      <fill>
        <patternFill>
          <bgColor rgb="FFFCE4D6"/>
        </patternFill>
      </fill>
    </dxf>
    <dxf>
      <font>
        <sz val="9"/>
        <color rgb="FF006100"/>
        <name val="Arial"/>
        <charset val="1"/>
      </font>
      <fill>
        <patternFill>
          <bgColor rgb="FFC6EFCE"/>
        </patternFill>
      </fill>
    </dxf>
    <dxf>
      <font>
        <sz val="9"/>
        <color rgb="FF006100"/>
        <name val="Arial"/>
        <charset val="1"/>
      </font>
      <fill>
        <patternFill>
          <bgColor rgb="FFC6EFCE"/>
        </patternFill>
      </fill>
    </dxf>
    <dxf>
      <font>
        <sz val="9"/>
        <color rgb="FF666666"/>
        <name val="Arial"/>
        <charset val="1"/>
      </font>
      <fill>
        <patternFill>
          <bgColor rgb="FFEDEDED"/>
        </patternFill>
      </fill>
    </dxf>
    <dxf>
      <font>
        <sz val="9"/>
        <color rgb="FFC65911"/>
        <name val="Arial"/>
        <charset val="1"/>
      </font>
      <fill>
        <patternFill>
          <bgColor rgb="FFFCE4D6"/>
        </patternFill>
      </fill>
    </dxf>
    <dxf>
      <font>
        <sz val="9"/>
        <color rgb="FF006100"/>
        <name val="Arial"/>
        <charset val="1"/>
      </font>
      <fill>
        <patternFill>
          <bgColor rgb="FFC6EFCE"/>
        </patternFill>
      </fill>
    </dxf>
    <dxf>
      <font>
        <sz val="9"/>
        <color rgb="FF006100"/>
        <name val="Arial"/>
        <charset val="1"/>
      </font>
      <fill>
        <patternFill>
          <bgColor rgb="FFC6EFCE"/>
        </patternFill>
      </fill>
    </dxf>
    <dxf>
      <fill>
        <patternFill>
          <bgColor rgb="FFBDD7EE"/>
        </patternFill>
      </fill>
    </dxf>
    <dxf>
      <fill>
        <patternFill>
          <bgColor rgb="FF00B050"/>
        </patternFill>
      </fill>
    </dxf>
  </dxfs>
  <tableStyles count="0" defaultTableStyle="TableStyleMedium2" defaultPivotStyle="PivotStyleLight16"/>
  <colors>
    <indexedColors>
      <rgbColor rgb="FF000000"/>
      <rgbColor rgb="FFFFFFFF"/>
      <rgbColor rgb="FFFF0000"/>
      <rgbColor rgb="FFD9D9D9"/>
      <rgbColor rgb="FF0000FF"/>
      <rgbColor rgb="FFFFFF00"/>
      <rgbColor rgb="FFD9E1F2"/>
      <rgbColor rgb="FFD6E4F0"/>
      <rgbColor rgb="FF9C0006"/>
      <rgbColor rgb="FF006300"/>
      <rgbColor rgb="FF1F4E78"/>
      <rgbColor rgb="FF9C6500"/>
      <rgbColor rgb="FFC55A15"/>
      <rgbColor rgb="FF0070C0"/>
      <rgbColor rgb="FFCCCCCC"/>
      <rgbColor rgb="FF548235"/>
      <rgbColor rgb="FF4E87BF"/>
      <rgbColor rgb="FF574F5C"/>
      <rgbColor rgb="FFFFF2CC"/>
      <rgbColor rgb="FFDAEEF3"/>
      <rgbColor rgb="FFEDEDED"/>
      <rgbColor rgb="FFED7D31"/>
      <rgbColor rgb="FF0563C1"/>
      <rgbColor rgb="FFBDD7EE"/>
      <rgbColor rgb="FFF2F7FB"/>
      <rgbColor rgb="FFD9E2F3"/>
      <rgbColor rgb="FFFCE4D6"/>
      <rgbColor rgb="FFD6DCE4"/>
      <rgbColor rgb="FFE7E6E6"/>
      <rgbColor rgb="FFC00000"/>
      <rgbColor rgb="FF2E75B6"/>
      <rgbColor rgb="FFF2F2F2"/>
      <rgbColor rgb="FFD3D3D3"/>
      <rgbColor rgb="FFE2EFDA"/>
      <rgbColor rgb="FFC6EFCE"/>
      <rgbColor rgb="FFFFEB9C"/>
      <rgbColor rgb="FFB4C6E7"/>
      <rgbColor rgb="FFF4B084"/>
      <rgbColor rgb="FFD0D0D0"/>
      <rgbColor rgb="FFFFC7CE"/>
      <rgbColor rgb="FF4472C4"/>
      <rgbColor rgb="FF00B050"/>
      <rgbColor rgb="FFA9D18A"/>
      <rgbColor rgb="FFFFD700"/>
      <rgbColor rgb="FFFFC000"/>
      <rgbColor rgb="FFE65100"/>
      <rgbColor rgb="FF676668"/>
      <rgbColor rgb="FF969696"/>
      <rgbColor rgb="FF203864"/>
      <rgbColor rgb="FF2E7D32"/>
      <rgbColor rgb="FF375623"/>
      <rgbColor rgb="FF404040"/>
      <rgbColor rgb="FFC65911"/>
      <rgbColor rgb="FF595959"/>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en-US" sz="1100" b="1" u="none" strike="noStrike">
                <a:solidFill>
                  <a:srgbClr val="1F4E78"/>
                </a:solidFill>
                <a:uFillTx/>
                <a:latin typeface="Arial"/>
                <a:ea typeface="Arial"/>
              </a:rPr>
              <a:t>Epics Status</a:t>
            </a:r>
          </a:p>
        </c:rich>
      </c:tx>
      <c:overlay val="0"/>
      <c:spPr>
        <a:noFill/>
        <a:ln w="0">
          <a:noFill/>
        </a:ln>
      </c:spPr>
    </c:title>
    <c:autoTitleDeleted val="0"/>
    <c:plotArea>
      <c:layout/>
      <c:pieChart>
        <c:varyColors val="1"/>
        <c:ser>
          <c:idx val="0"/>
          <c:order val="0"/>
          <c:tx>
            <c:strRef>
              <c:f>_ChartData!$B$1</c:f>
              <c:strCache>
                <c:ptCount val="1"/>
                <c:pt idx="0">
                  <c:v>Epics</c:v>
                </c:pt>
              </c:strCache>
            </c:strRef>
          </c:tx>
          <c:spPr>
            <a:solidFill>
              <a:srgbClr val="4F81BD"/>
            </a:solidFill>
            <a:ln w="0">
              <a:noFill/>
            </a:ln>
          </c:spPr>
          <c:dPt>
            <c:idx val="0"/>
            <c:bubble3D val="0"/>
            <c:spPr>
              <a:solidFill>
                <a:srgbClr val="ED7D31"/>
              </a:solidFill>
              <a:ln w="19080">
                <a:solidFill>
                  <a:srgbClr val="FFFFFF"/>
                </a:solidFill>
                <a:round/>
              </a:ln>
            </c:spPr>
            <c:extLst>
              <c:ext xmlns:c16="http://schemas.microsoft.com/office/drawing/2014/chart" uri="{C3380CC4-5D6E-409C-BE32-E72D297353CC}">
                <c16:uniqueId val="{00000001-915F-1041-9CF4-1D9C1A71ED82}"/>
              </c:ext>
            </c:extLst>
          </c:dPt>
          <c:dPt>
            <c:idx val="1"/>
            <c:bubble3D val="0"/>
            <c:spPr>
              <a:solidFill>
                <a:srgbClr val="00B050"/>
              </a:solidFill>
              <a:ln w="19080">
                <a:solidFill>
                  <a:srgbClr val="FFFFFF"/>
                </a:solidFill>
                <a:round/>
              </a:ln>
            </c:spPr>
            <c:extLst>
              <c:ext xmlns:c16="http://schemas.microsoft.com/office/drawing/2014/chart" uri="{C3380CC4-5D6E-409C-BE32-E72D297353CC}">
                <c16:uniqueId val="{00000003-915F-1041-9CF4-1D9C1A71ED82}"/>
              </c:ext>
            </c:extLst>
          </c:dPt>
          <c:dPt>
            <c:idx val="2"/>
            <c:bubble3D val="0"/>
            <c:spPr>
              <a:solidFill>
                <a:srgbClr val="2F5496"/>
              </a:solidFill>
              <a:ln w="19080">
                <a:solidFill>
                  <a:srgbClr val="FFFFFF"/>
                </a:solidFill>
                <a:round/>
              </a:ln>
            </c:spPr>
            <c:extLst>
              <c:ext xmlns:c16="http://schemas.microsoft.com/office/drawing/2014/chart" uri="{C3380CC4-5D6E-409C-BE32-E72D297353CC}">
                <c16:uniqueId val="{00000005-915F-1041-9CF4-1D9C1A71ED82}"/>
              </c:ext>
            </c:extLst>
          </c:dPt>
          <c:dLbls>
            <c:dLbl>
              <c:idx val="0"/>
              <c:spPr/>
              <c:txPr>
                <a:bodyPr wrap="square"/>
                <a:lstStyle/>
                <a:p>
                  <a:pPr>
                    <a:defRPr sz="1200" b="1" u="none" strike="noStrike">
                      <a:solidFill>
                        <a:srgbClr val="404040"/>
                      </a:solidFill>
                      <a:uFillTx/>
                      <a:latin typeface="Calibri"/>
                    </a:defRPr>
                  </a:pPr>
                  <a:endParaRPr lang="fr-F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15F-1041-9CF4-1D9C1A71ED82}"/>
                </c:ext>
              </c:extLst>
            </c:dLbl>
            <c:dLbl>
              <c:idx val="1"/>
              <c:spPr/>
              <c:txPr>
                <a:bodyPr wrap="square"/>
                <a:lstStyle/>
                <a:p>
                  <a:pPr>
                    <a:defRPr sz="1200" b="1" u="none" strike="noStrike">
                      <a:solidFill>
                        <a:srgbClr val="404040"/>
                      </a:solidFill>
                      <a:uFillTx/>
                      <a:latin typeface="Calibri"/>
                    </a:defRPr>
                  </a:pPr>
                  <a:endParaRPr lang="fr-F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15F-1041-9CF4-1D9C1A71ED82}"/>
                </c:ext>
              </c:extLst>
            </c:dLbl>
            <c:dLbl>
              <c:idx val="2"/>
              <c:spPr/>
              <c:txPr>
                <a:bodyPr wrap="square"/>
                <a:lstStyle/>
                <a:p>
                  <a:pPr>
                    <a:defRPr sz="1200" b="1" u="none" strike="noStrike">
                      <a:solidFill>
                        <a:srgbClr val="404040"/>
                      </a:solidFill>
                      <a:uFillTx/>
                      <a:latin typeface="Calibri"/>
                    </a:defRPr>
                  </a:pPr>
                  <a:endParaRPr lang="fr-F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15F-1041-9CF4-1D9C1A71ED82}"/>
                </c:ext>
              </c:extLst>
            </c:dLbl>
            <c:spPr>
              <a:noFill/>
              <a:ln>
                <a:noFill/>
              </a:ln>
              <a:effectLst/>
            </c:spPr>
            <c:txPr>
              <a:bodyPr wrap="square"/>
              <a:lstStyle/>
              <a:p>
                <a:pPr>
                  <a:defRPr sz="1200" b="1" u="none" strike="noStrike">
                    <a:solidFill>
                      <a:srgbClr val="404040"/>
                    </a:solidFill>
                    <a:uFillTx/>
                    <a:latin typeface="Calibri"/>
                  </a:defRPr>
                </a:pPr>
                <a:endParaRPr lang="fr-FR"/>
              </a:p>
            </c:txPr>
            <c:dLblPos val="bestFit"/>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_ChartData!$A$2:$A$4</c:f>
              <c:strCache>
                <c:ptCount val="3"/>
                <c:pt idx="0">
                  <c:v>En cours</c:v>
                </c:pt>
                <c:pt idx="1">
                  <c:v>Terminé</c:v>
                </c:pt>
                <c:pt idx="2">
                  <c:v>Backlog</c:v>
                </c:pt>
              </c:strCache>
            </c:strRef>
          </c:cat>
          <c:val>
            <c:numRef>
              <c:f>_ChartData!$B$2:$B$4</c:f>
              <c:numCache>
                <c:formatCode>General</c:formatCode>
                <c:ptCount val="3"/>
                <c:pt idx="0">
                  <c:v>2</c:v>
                </c:pt>
                <c:pt idx="1">
                  <c:v>3</c:v>
                </c:pt>
                <c:pt idx="2">
                  <c:v>16</c:v>
                </c:pt>
              </c:numCache>
            </c:numRef>
          </c:val>
          <c:extLst>
            <c:ext xmlns:c16="http://schemas.microsoft.com/office/drawing/2014/chart" uri="{C3380CC4-5D6E-409C-BE32-E72D297353CC}">
              <c16:uniqueId val="{00000006-915F-1041-9CF4-1D9C1A71ED82}"/>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b"/>
      <c:overlay val="0"/>
      <c:spPr>
        <a:noFill/>
        <a:ln w="0">
          <a:noFill/>
        </a:ln>
      </c:spPr>
      <c:txPr>
        <a:bodyPr/>
        <a:lstStyle/>
        <a:p>
          <a:pPr>
            <a:defRPr sz="900" b="0" u="none" strike="noStrike">
              <a:solidFill>
                <a:srgbClr val="595959"/>
              </a:solidFill>
              <a:uFillTx/>
              <a:latin typeface="Calibri"/>
            </a:defRPr>
          </a:pPr>
          <a:endParaRPr lang="fr-FR"/>
        </a:p>
      </c:txPr>
    </c:legend>
    <c:plotVisOnly val="1"/>
    <c:dispBlanksAs val="gap"/>
    <c:showDLblsOverMax val="1"/>
  </c:chart>
  <c:spPr>
    <a:solidFill>
      <a:srgbClr val="FFFFFF"/>
    </a:solidFill>
    <a:ln w="12600">
      <a:solidFill>
        <a:srgbClr val="D6DCE4"/>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en-US" sz="1100" b="1" u="none" strike="noStrike">
                <a:solidFill>
                  <a:srgbClr val="1F4E78"/>
                </a:solidFill>
                <a:uFillTx/>
                <a:latin typeface="Arial"/>
                <a:ea typeface="Arial"/>
              </a:rPr>
              <a:t>Story Points par PI</a:t>
            </a:r>
          </a:p>
        </c:rich>
      </c:tx>
      <c:overlay val="0"/>
      <c:spPr>
        <a:noFill/>
        <a:ln w="0">
          <a:noFill/>
        </a:ln>
      </c:spPr>
    </c:title>
    <c:autoTitleDeleted val="0"/>
    <c:plotArea>
      <c:layout/>
      <c:barChart>
        <c:barDir val="col"/>
        <c:grouping val="clustered"/>
        <c:varyColors val="0"/>
        <c:ser>
          <c:idx val="0"/>
          <c:order val="0"/>
          <c:tx>
            <c:strRef>
              <c:f>_ChartData!$B$6</c:f>
              <c:strCache>
                <c:ptCount val="1"/>
                <c:pt idx="0">
                  <c:v>Story Points</c:v>
                </c:pt>
              </c:strCache>
            </c:strRef>
          </c:tx>
          <c:spPr>
            <a:solidFill>
              <a:srgbClr val="2F5496"/>
            </a:solidFill>
            <a:ln w="0">
              <a:noFill/>
            </a:ln>
          </c:spPr>
          <c:invertIfNegative val="0"/>
          <c:dPt>
            <c:idx val="1"/>
            <c:invertIfNegative val="0"/>
            <c:bubble3D val="0"/>
            <c:spPr>
              <a:solidFill>
                <a:srgbClr val="4472C4"/>
              </a:solidFill>
              <a:ln w="0">
                <a:noFill/>
              </a:ln>
            </c:spPr>
            <c:extLst>
              <c:ext xmlns:c16="http://schemas.microsoft.com/office/drawing/2014/chart" uri="{C3380CC4-5D6E-409C-BE32-E72D297353CC}">
                <c16:uniqueId val="{00000001-976F-CE41-A438-157167EC3A44}"/>
              </c:ext>
            </c:extLst>
          </c:dPt>
          <c:dPt>
            <c:idx val="2"/>
            <c:invertIfNegative val="0"/>
            <c:bubble3D val="0"/>
            <c:spPr>
              <a:solidFill>
                <a:srgbClr val="D6DCE4"/>
              </a:solidFill>
              <a:ln w="0">
                <a:noFill/>
              </a:ln>
            </c:spPr>
            <c:extLst>
              <c:ext xmlns:c16="http://schemas.microsoft.com/office/drawing/2014/chart" uri="{C3380CC4-5D6E-409C-BE32-E72D297353CC}">
                <c16:uniqueId val="{00000003-976F-CE41-A438-157167EC3A44}"/>
              </c:ext>
            </c:extLst>
          </c:dPt>
          <c:dLbls>
            <c:dLbl>
              <c:idx val="1"/>
              <c:spPr/>
              <c:txPr>
                <a:bodyPr wrap="square"/>
                <a:lstStyle/>
                <a:p>
                  <a:pPr>
                    <a:defRPr sz="1200" b="1" u="none" strike="noStrike">
                      <a:solidFill>
                        <a:srgbClr val="1F4E78"/>
                      </a:solidFill>
                      <a:uFillTx/>
                      <a:latin typeface="Calibri"/>
                    </a:defRPr>
                  </a:pPr>
                  <a:endParaRPr lang="fr-FR"/>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76F-CE41-A438-157167EC3A44}"/>
                </c:ext>
              </c:extLst>
            </c:dLbl>
            <c:dLbl>
              <c:idx val="2"/>
              <c:spPr/>
              <c:txPr>
                <a:bodyPr wrap="square"/>
                <a:lstStyle/>
                <a:p>
                  <a:pPr>
                    <a:defRPr sz="1200" b="1" u="none" strike="noStrike">
                      <a:solidFill>
                        <a:srgbClr val="1F4E78"/>
                      </a:solidFill>
                      <a:uFillTx/>
                      <a:latin typeface="Calibri"/>
                    </a:defRPr>
                  </a:pPr>
                  <a:endParaRPr lang="fr-FR"/>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76F-CE41-A438-157167EC3A44}"/>
                </c:ext>
              </c:extLst>
            </c:dLbl>
            <c:spPr>
              <a:noFill/>
              <a:ln>
                <a:noFill/>
              </a:ln>
              <a:effectLst/>
            </c:spPr>
            <c:txPr>
              <a:bodyPr wrap="square"/>
              <a:lstStyle/>
              <a:p>
                <a:pPr>
                  <a:defRPr sz="1200" b="1" u="none" strike="noStrike">
                    <a:solidFill>
                      <a:srgbClr val="1F4E78"/>
                    </a:solidFill>
                    <a:uFillTx/>
                    <a:latin typeface="Calibri"/>
                  </a:defRPr>
                </a:pPr>
                <a:endParaRPr lang="fr-F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_ChartData!$A$7:$A$9</c:f>
              <c:strCache>
                <c:ptCount val="3"/>
                <c:pt idx="0">
                  <c:v>PI-1</c:v>
                </c:pt>
                <c:pt idx="1">
                  <c:v>PI-2</c:v>
                </c:pt>
                <c:pt idx="2">
                  <c:v>PI-3</c:v>
                </c:pt>
              </c:strCache>
            </c:strRef>
          </c:cat>
          <c:val>
            <c:numRef>
              <c:f>_ChartData!$B$7:$B$9</c:f>
              <c:numCache>
                <c:formatCode>General</c:formatCode>
                <c:ptCount val="3"/>
                <c:pt idx="0">
                  <c:v>134</c:v>
                </c:pt>
                <c:pt idx="1">
                  <c:v>61</c:v>
                </c:pt>
                <c:pt idx="2">
                  <c:v>51</c:v>
                </c:pt>
              </c:numCache>
            </c:numRef>
          </c:val>
          <c:extLst>
            <c:ext xmlns:c16="http://schemas.microsoft.com/office/drawing/2014/chart" uri="{C3380CC4-5D6E-409C-BE32-E72D297353CC}">
              <c16:uniqueId val="{00000004-976F-CE41-A438-157167EC3A44}"/>
            </c:ext>
          </c:extLst>
        </c:ser>
        <c:dLbls>
          <c:showLegendKey val="0"/>
          <c:showVal val="0"/>
          <c:showCatName val="0"/>
          <c:showSerName val="0"/>
          <c:showPercent val="0"/>
          <c:showBubbleSize val="0"/>
        </c:dLbls>
        <c:gapWidth val="219"/>
        <c:overlap val="-27"/>
        <c:axId val="73311681"/>
        <c:axId val="18582990"/>
      </c:barChart>
      <c:catAx>
        <c:axId val="7331168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defRPr>
            </a:pPr>
            <a:endParaRPr lang="fr-FR"/>
          </a:p>
        </c:txPr>
        <c:crossAx val="18582990"/>
        <c:crosses val="autoZero"/>
        <c:auto val="1"/>
        <c:lblAlgn val="ctr"/>
        <c:lblOffset val="100"/>
        <c:noMultiLvlLbl val="0"/>
      </c:catAx>
      <c:valAx>
        <c:axId val="1858299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sz="900" b="0" u="none" strike="noStrike">
                <a:solidFill>
                  <a:srgbClr val="595959"/>
                </a:solidFill>
                <a:uFillTx/>
                <a:latin typeface="Calibri"/>
              </a:defRPr>
            </a:pPr>
            <a:endParaRPr lang="fr-FR"/>
          </a:p>
        </c:txPr>
        <c:crossAx val="73311681"/>
        <c:crosses val="autoZero"/>
        <c:crossBetween val="between"/>
      </c:valAx>
      <c:spPr>
        <a:solidFill>
          <a:srgbClr val="FFFFFF"/>
        </a:solidFill>
        <a:ln w="0">
          <a:noFill/>
        </a:ln>
      </c:spPr>
    </c:plotArea>
    <c:plotVisOnly val="1"/>
    <c:dispBlanksAs val="gap"/>
    <c:showDLblsOverMax val="1"/>
  </c:chart>
  <c:spPr>
    <a:solidFill>
      <a:srgbClr val="FFFFFF"/>
    </a:solidFill>
    <a:ln w="12600">
      <a:solidFill>
        <a:srgbClr val="D6DCE4"/>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en-US" sz="1100" b="1" u="none" strike="noStrike">
                <a:solidFill>
                  <a:srgbClr val="1F4E78"/>
                </a:solidFill>
                <a:uFillTx/>
                <a:latin typeface="Arial"/>
                <a:ea typeface="Arial"/>
              </a:rPr>
              <a:t>Sprint Velocity (SP)</a:t>
            </a:r>
          </a:p>
        </c:rich>
      </c:tx>
      <c:overlay val="0"/>
      <c:spPr>
        <a:noFill/>
        <a:ln w="0">
          <a:noFill/>
        </a:ln>
      </c:spPr>
    </c:title>
    <c:autoTitleDeleted val="0"/>
    <c:plotArea>
      <c:layout/>
      <c:lineChart>
        <c:grouping val="standard"/>
        <c:varyColors val="0"/>
        <c:ser>
          <c:idx val="0"/>
          <c:order val="0"/>
          <c:tx>
            <c:strRef>
              <c:f>_ChartData!$B$11</c:f>
              <c:strCache>
                <c:ptCount val="1"/>
                <c:pt idx="0">
                  <c:v>Actual SP</c:v>
                </c:pt>
              </c:strCache>
            </c:strRef>
          </c:tx>
          <c:spPr>
            <a:ln w="28440" cap="rnd">
              <a:solidFill>
                <a:srgbClr val="00B050"/>
              </a:solidFill>
              <a:round/>
            </a:ln>
          </c:spPr>
          <c:marker>
            <c:symbol val="circle"/>
            <c:size val="10"/>
            <c:spPr>
              <a:solidFill>
                <a:srgbClr val="00B050"/>
              </a:solidFill>
            </c:spPr>
          </c:marker>
          <c:dLbls>
            <c:spPr>
              <a:noFill/>
              <a:ln>
                <a:noFill/>
              </a:ln>
              <a:effectLst/>
            </c:spPr>
            <c:txPr>
              <a:bodyPr wrap="square"/>
              <a:lstStyle/>
              <a:p>
                <a:pPr>
                  <a:defRPr sz="1200" b="1" u="none" strike="noStrike">
                    <a:solidFill>
                      <a:srgbClr val="375623"/>
                    </a:solidFill>
                    <a:uFillTx/>
                    <a:latin typeface="Calibri"/>
                  </a:defRPr>
                </a:pPr>
                <a:endParaRPr lang="fr-F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_ChartData!$A$12:$A$15</c:f>
              <c:strCache>
                <c:ptCount val="4"/>
                <c:pt idx="0">
                  <c:v>S1</c:v>
                </c:pt>
                <c:pt idx="1">
                  <c:v>S2</c:v>
                </c:pt>
                <c:pt idx="2">
                  <c:v>S3</c:v>
                </c:pt>
                <c:pt idx="3">
                  <c:v>S4</c:v>
                </c:pt>
              </c:strCache>
            </c:strRef>
          </c:cat>
          <c:val>
            <c:numRef>
              <c:f>_ChartData!$B$12:$B$15</c:f>
              <c:numCache>
                <c:formatCode>General</c:formatCode>
                <c:ptCount val="4"/>
                <c:pt idx="0">
                  <c:v>0</c:v>
                </c:pt>
                <c:pt idx="1">
                  <c:v>0</c:v>
                </c:pt>
                <c:pt idx="2">
                  <c:v>38</c:v>
                </c:pt>
                <c:pt idx="3">
                  <c:v>23</c:v>
                </c:pt>
              </c:numCache>
            </c:numRef>
          </c:val>
          <c:smooth val="0"/>
          <c:extLst>
            <c:ext xmlns:c16="http://schemas.microsoft.com/office/drawing/2014/chart" uri="{C3380CC4-5D6E-409C-BE32-E72D297353CC}">
              <c16:uniqueId val="{00000000-B84E-B349-8190-31B4C35FADFF}"/>
            </c:ext>
          </c:extLst>
        </c:ser>
        <c:dLbls>
          <c:showLegendKey val="0"/>
          <c:showVal val="0"/>
          <c:showCatName val="0"/>
          <c:showSerName val="0"/>
          <c:showPercent val="0"/>
          <c:showBubbleSize val="0"/>
        </c:dLbls>
        <c:hiLowLines>
          <c:spPr>
            <a:ln w="0">
              <a:noFill/>
            </a:ln>
          </c:spPr>
        </c:hiLowLines>
        <c:marker val="1"/>
        <c:smooth val="0"/>
        <c:axId val="57227336"/>
        <c:axId val="9995924"/>
      </c:lineChart>
      <c:catAx>
        <c:axId val="57227336"/>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defRPr>
            </a:pPr>
            <a:endParaRPr lang="fr-FR"/>
          </a:p>
        </c:txPr>
        <c:crossAx val="9995924"/>
        <c:crosses val="autoZero"/>
        <c:auto val="1"/>
        <c:lblAlgn val="ctr"/>
        <c:lblOffset val="100"/>
        <c:noMultiLvlLbl val="0"/>
      </c:catAx>
      <c:valAx>
        <c:axId val="9995924"/>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sz="900" b="0" u="none" strike="noStrike">
                <a:solidFill>
                  <a:srgbClr val="595959"/>
                </a:solidFill>
                <a:uFillTx/>
                <a:latin typeface="Calibri"/>
              </a:defRPr>
            </a:pPr>
            <a:endParaRPr lang="fr-FR"/>
          </a:p>
        </c:txPr>
        <c:crossAx val="57227336"/>
        <c:crosses val="autoZero"/>
        <c:crossBetween val="between"/>
      </c:valAx>
      <c:spPr>
        <a:solidFill>
          <a:srgbClr val="FFFFFF"/>
        </a:solidFill>
        <a:ln w="0">
          <a:noFill/>
        </a:ln>
      </c:spPr>
    </c:plotArea>
    <c:plotVisOnly val="1"/>
    <c:dispBlanksAs val="zero"/>
    <c:showDLblsOverMax val="1"/>
  </c:chart>
  <c:spPr>
    <a:solidFill>
      <a:srgbClr val="FFFFFF"/>
    </a:solidFill>
    <a:ln w="12600">
      <a:solidFill>
        <a:srgbClr val="D6DCE4"/>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en-US" sz="1100" b="1" u="none" strike="noStrike">
                <a:solidFill>
                  <a:srgbClr val="1F4E78"/>
                </a:solidFill>
                <a:uFillTx/>
                <a:latin typeface="Arial"/>
                <a:ea typeface="Arial"/>
              </a:rPr>
              <a:t>Flow Distribution</a:t>
            </a:r>
          </a:p>
        </c:rich>
      </c:tx>
      <c:overlay val="0"/>
      <c:spPr>
        <a:noFill/>
        <a:ln w="0">
          <a:noFill/>
        </a:ln>
      </c:spPr>
    </c:title>
    <c:autoTitleDeleted val="0"/>
    <c:plotArea>
      <c:layout/>
      <c:pieChart>
        <c:varyColors val="1"/>
        <c:ser>
          <c:idx val="0"/>
          <c:order val="0"/>
          <c:tx>
            <c:strRef>
              <c:f>_ChartData!$B$17</c:f>
              <c:strCache>
                <c:ptCount val="1"/>
                <c:pt idx="0">
                  <c:v>Allocation</c:v>
                </c:pt>
              </c:strCache>
            </c:strRef>
          </c:tx>
          <c:spPr>
            <a:solidFill>
              <a:srgbClr val="4F81BD"/>
            </a:solidFill>
            <a:ln w="0">
              <a:noFill/>
            </a:ln>
          </c:spPr>
          <c:dPt>
            <c:idx val="0"/>
            <c:bubble3D val="0"/>
            <c:spPr>
              <a:solidFill>
                <a:srgbClr val="2F5496"/>
              </a:solidFill>
              <a:ln w="19080">
                <a:solidFill>
                  <a:srgbClr val="FFFFFF"/>
                </a:solidFill>
                <a:round/>
              </a:ln>
            </c:spPr>
            <c:extLst>
              <c:ext xmlns:c16="http://schemas.microsoft.com/office/drawing/2014/chart" uri="{C3380CC4-5D6E-409C-BE32-E72D297353CC}">
                <c16:uniqueId val="{00000001-C59C-F444-B200-C63CCABFC1FF}"/>
              </c:ext>
            </c:extLst>
          </c:dPt>
          <c:dPt>
            <c:idx val="1"/>
            <c:bubble3D val="0"/>
            <c:spPr>
              <a:solidFill>
                <a:srgbClr val="ED7D31"/>
              </a:solidFill>
              <a:ln w="19080">
                <a:solidFill>
                  <a:srgbClr val="FFFFFF"/>
                </a:solidFill>
                <a:round/>
              </a:ln>
            </c:spPr>
            <c:extLst>
              <c:ext xmlns:c16="http://schemas.microsoft.com/office/drawing/2014/chart" uri="{C3380CC4-5D6E-409C-BE32-E72D297353CC}">
                <c16:uniqueId val="{00000003-C59C-F444-B200-C63CCABFC1FF}"/>
              </c:ext>
            </c:extLst>
          </c:dPt>
          <c:dPt>
            <c:idx val="2"/>
            <c:bubble3D val="0"/>
            <c:spPr>
              <a:solidFill>
                <a:srgbClr val="00B050"/>
              </a:solidFill>
              <a:ln w="19080">
                <a:solidFill>
                  <a:srgbClr val="FFFFFF"/>
                </a:solidFill>
                <a:round/>
              </a:ln>
            </c:spPr>
            <c:extLst>
              <c:ext xmlns:c16="http://schemas.microsoft.com/office/drawing/2014/chart" uri="{C3380CC4-5D6E-409C-BE32-E72D297353CC}">
                <c16:uniqueId val="{00000005-C59C-F444-B200-C63CCABFC1FF}"/>
              </c:ext>
            </c:extLst>
          </c:dPt>
          <c:dPt>
            <c:idx val="3"/>
            <c:bubble3D val="0"/>
            <c:spPr>
              <a:solidFill>
                <a:srgbClr val="7030A0"/>
              </a:solidFill>
              <a:ln w="19080">
                <a:solidFill>
                  <a:srgbClr val="FFFFFF"/>
                </a:solidFill>
                <a:round/>
              </a:ln>
            </c:spPr>
            <c:extLst>
              <c:ext xmlns:c16="http://schemas.microsoft.com/office/drawing/2014/chart" uri="{C3380CC4-5D6E-409C-BE32-E72D297353CC}">
                <c16:uniqueId val="{00000007-C59C-F444-B200-C63CCABFC1FF}"/>
              </c:ext>
            </c:extLst>
          </c:dPt>
          <c:dLbls>
            <c:dLbl>
              <c:idx val="0"/>
              <c:spPr/>
              <c:txPr>
                <a:bodyPr wrap="square"/>
                <a:lstStyle/>
                <a:p>
                  <a:pPr>
                    <a:defRPr sz="1100" b="1" u="none" strike="noStrike">
                      <a:solidFill>
                        <a:srgbClr val="404040"/>
                      </a:solidFill>
                      <a:uFillTx/>
                      <a:latin typeface="Calibri"/>
                    </a:defRPr>
                  </a:pPr>
                  <a:endParaRPr lang="fr-FR"/>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C59C-F444-B200-C63CCABFC1FF}"/>
                </c:ext>
              </c:extLst>
            </c:dLbl>
            <c:dLbl>
              <c:idx val="1"/>
              <c:spPr/>
              <c:txPr>
                <a:bodyPr wrap="square"/>
                <a:lstStyle/>
                <a:p>
                  <a:pPr>
                    <a:defRPr sz="1100" b="1" u="none" strike="noStrike">
                      <a:solidFill>
                        <a:srgbClr val="404040"/>
                      </a:solidFill>
                      <a:uFillTx/>
                      <a:latin typeface="Calibri"/>
                    </a:defRPr>
                  </a:pPr>
                  <a:endParaRPr lang="fr-FR"/>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C59C-F444-B200-C63CCABFC1FF}"/>
                </c:ext>
              </c:extLst>
            </c:dLbl>
            <c:dLbl>
              <c:idx val="2"/>
              <c:spPr/>
              <c:txPr>
                <a:bodyPr wrap="square"/>
                <a:lstStyle/>
                <a:p>
                  <a:pPr>
                    <a:defRPr sz="1100" b="1" u="none" strike="noStrike">
                      <a:solidFill>
                        <a:srgbClr val="404040"/>
                      </a:solidFill>
                      <a:uFillTx/>
                      <a:latin typeface="Calibri"/>
                    </a:defRPr>
                  </a:pPr>
                  <a:endParaRPr lang="fr-FR"/>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C59C-F444-B200-C63CCABFC1FF}"/>
                </c:ext>
              </c:extLst>
            </c:dLbl>
            <c:dLbl>
              <c:idx val="3"/>
              <c:spPr/>
              <c:txPr>
                <a:bodyPr wrap="square"/>
                <a:lstStyle/>
                <a:p>
                  <a:pPr>
                    <a:defRPr sz="1100" b="1" u="none" strike="noStrike">
                      <a:solidFill>
                        <a:srgbClr val="404040"/>
                      </a:solidFill>
                      <a:uFillTx/>
                      <a:latin typeface="Calibri"/>
                    </a:defRPr>
                  </a:pPr>
                  <a:endParaRPr lang="fr-FR"/>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C59C-F444-B200-C63CCABFC1FF}"/>
                </c:ext>
              </c:extLst>
            </c:dLbl>
            <c:spPr>
              <a:noFill/>
              <a:ln>
                <a:noFill/>
              </a:ln>
              <a:effectLst/>
            </c:spPr>
            <c:txPr>
              <a:bodyPr wrap="square"/>
              <a:lstStyle/>
              <a:p>
                <a:pPr>
                  <a:defRPr sz="1100" b="1" u="none" strike="noStrike">
                    <a:solidFill>
                      <a:srgbClr val="404040"/>
                    </a:solidFill>
                    <a:uFillTx/>
                    <a:latin typeface="Calibri"/>
                  </a:defRPr>
                </a:pPr>
                <a:endParaRPr lang="fr-FR"/>
              </a:p>
            </c:txPr>
            <c:dLblPos val="bestFit"/>
            <c:showLegendKey val="0"/>
            <c:showVal val="0"/>
            <c:showCatName val="0"/>
            <c:showSerName val="0"/>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_ChartData!$A$18:$A$21</c:f>
              <c:strCache>
                <c:ptCount val="4"/>
                <c:pt idx="0">
                  <c:v>Monétisation</c:v>
                </c:pt>
                <c:pt idx="1">
                  <c:v>Exp. Match</c:v>
                </c:pt>
                <c:pt idx="2">
                  <c:v>Acquisition</c:v>
                </c:pt>
                <c:pt idx="3">
                  <c:v>Excellence Ops</c:v>
                </c:pt>
              </c:strCache>
            </c:strRef>
          </c:cat>
          <c:val>
            <c:numRef>
              <c:f>_ChartData!$B$18:$B$21</c:f>
              <c:numCache>
                <c:formatCode>General</c:formatCode>
                <c:ptCount val="4"/>
                <c:pt idx="0">
                  <c:v>40</c:v>
                </c:pt>
                <c:pt idx="1">
                  <c:v>25</c:v>
                </c:pt>
                <c:pt idx="2">
                  <c:v>20</c:v>
                </c:pt>
                <c:pt idx="3">
                  <c:v>15</c:v>
                </c:pt>
              </c:numCache>
            </c:numRef>
          </c:val>
          <c:extLst>
            <c:ext xmlns:c16="http://schemas.microsoft.com/office/drawing/2014/chart" uri="{C3380CC4-5D6E-409C-BE32-E72D297353CC}">
              <c16:uniqueId val="{00000008-C59C-F444-B200-C63CCABFC1FF}"/>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b"/>
      <c:overlay val="0"/>
      <c:spPr>
        <a:noFill/>
        <a:ln w="0">
          <a:noFill/>
        </a:ln>
      </c:spPr>
      <c:txPr>
        <a:bodyPr/>
        <a:lstStyle/>
        <a:p>
          <a:pPr>
            <a:defRPr sz="900" b="0" u="none" strike="noStrike">
              <a:solidFill>
                <a:srgbClr val="595959"/>
              </a:solidFill>
              <a:uFillTx/>
              <a:latin typeface="Calibri"/>
            </a:defRPr>
          </a:pPr>
          <a:endParaRPr lang="fr-FR"/>
        </a:p>
      </c:txPr>
    </c:legend>
    <c:plotVisOnly val="1"/>
    <c:dispBlanksAs val="gap"/>
    <c:showDLblsOverMax val="1"/>
  </c:chart>
  <c:spPr>
    <a:solidFill>
      <a:srgbClr val="FFFFFF"/>
    </a:solidFill>
    <a:ln w="12600">
      <a:solidFill>
        <a:srgbClr val="D6DCE4"/>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fr-FR" sz="1800" b="1" u="none" strike="noStrike">
                <a:solidFill>
                  <a:srgbClr val="000000"/>
                </a:solidFill>
                <a:uFillTx/>
                <a:latin typeface="Calibri"/>
              </a:rPr>
              <a:t>Epic WSJF Scores</a:t>
            </a:r>
          </a:p>
        </c:rich>
      </c:tx>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fr-F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'Epics &amp; LBC'!$A$4:$A$24</c:f>
              <c:strCache>
                <c:ptCount val="21"/>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pt idx="18">
                  <c:v>E-19</c:v>
                </c:pt>
                <c:pt idx="19">
                  <c:v>E-20</c:v>
                </c:pt>
                <c:pt idx="20">
                  <c:v>E-21</c:v>
                </c:pt>
              </c:strCache>
            </c:strRef>
          </c:cat>
          <c:val>
            <c:numRef>
              <c:f>'Epics &amp; LBC'!$E$3:$E$24</c:f>
              <c:numCache>
                <c:formatCode>General</c:formatCode>
                <c:ptCount val="22"/>
                <c:pt idx="0">
                  <c:v>0</c:v>
                </c:pt>
                <c:pt idx="1">
                  <c:v>13</c:v>
                </c:pt>
                <c:pt idx="2">
                  <c:v>10</c:v>
                </c:pt>
                <c:pt idx="3">
                  <c:v>21</c:v>
                </c:pt>
                <c:pt idx="4">
                  <c:v>8</c:v>
                </c:pt>
                <c:pt idx="5">
                  <c:v>5</c:v>
                </c:pt>
                <c:pt idx="6">
                  <c:v>6.5</c:v>
                </c:pt>
                <c:pt idx="7">
                  <c:v>10.5</c:v>
                </c:pt>
                <c:pt idx="8">
                  <c:v>13</c:v>
                </c:pt>
                <c:pt idx="9">
                  <c:v>5</c:v>
                </c:pt>
                <c:pt idx="10">
                  <c:v>10.5</c:v>
                </c:pt>
                <c:pt idx="11">
                  <c:v>4</c:v>
                </c:pt>
                <c:pt idx="12">
                  <c:v>2.5</c:v>
                </c:pt>
                <c:pt idx="13">
                  <c:v>4</c:v>
                </c:pt>
                <c:pt idx="14">
                  <c:v>4</c:v>
                </c:pt>
                <c:pt idx="15">
                  <c:v>8</c:v>
                </c:pt>
                <c:pt idx="16">
                  <c:v>3.5</c:v>
                </c:pt>
                <c:pt idx="17">
                  <c:v>5</c:v>
                </c:pt>
                <c:pt idx="18">
                  <c:v>5</c:v>
                </c:pt>
                <c:pt idx="19">
                  <c:v>1.3333333333333333</c:v>
                </c:pt>
                <c:pt idx="20">
                  <c:v>5</c:v>
                </c:pt>
                <c:pt idx="21">
                  <c:v>5</c:v>
                </c:pt>
              </c:numCache>
            </c:numRef>
          </c:val>
          <c:extLst>
            <c:ext xmlns:c16="http://schemas.microsoft.com/office/drawing/2014/chart" uri="{C3380CC4-5D6E-409C-BE32-E72D297353CC}">
              <c16:uniqueId val="{00000000-CC58-1744-AAFC-768C56E04410}"/>
            </c:ext>
          </c:extLst>
        </c:ser>
        <c:dLbls>
          <c:showLegendKey val="0"/>
          <c:showVal val="0"/>
          <c:showCatName val="0"/>
          <c:showSerName val="0"/>
          <c:showPercent val="0"/>
          <c:showBubbleSize val="0"/>
        </c:dLbls>
        <c:gapWidth val="150"/>
        <c:axId val="32509310"/>
        <c:axId val="77493505"/>
      </c:barChart>
      <c:catAx>
        <c:axId val="3250931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fr-FR"/>
          </a:p>
        </c:txPr>
        <c:crossAx val="77493505"/>
        <c:crosses val="autoZero"/>
        <c:auto val="1"/>
        <c:lblAlgn val="ctr"/>
        <c:lblOffset val="100"/>
        <c:noMultiLvlLbl val="0"/>
      </c:catAx>
      <c:valAx>
        <c:axId val="7749350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fr-FR" sz="1000" b="1" u="none" strike="noStrike">
                    <a:solidFill>
                      <a:srgbClr val="000000"/>
                    </a:solidFill>
                    <a:uFillTx/>
                    <a:latin typeface="Calibri"/>
                  </a:rPr>
                  <a:t>WSJF Score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fr-FR"/>
          </a:p>
        </c:txPr>
        <c:crossAx val="3250931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fr-FR" sz="1800" b="1" u="none" strike="noStrike">
                <a:solidFill>
                  <a:srgbClr val="000000"/>
                </a:solidFill>
                <a:uFillTx/>
                <a:latin typeface="Calibri"/>
              </a:rPr>
              <a:t>Sprint Velocity Trend</a:t>
            </a:r>
          </a:p>
        </c:rich>
      </c:tx>
      <c:overlay val="0"/>
      <c:spPr>
        <a:noFill/>
        <a:ln w="0">
          <a:noFill/>
        </a:ln>
      </c:spPr>
    </c:title>
    <c:autoTitleDeleted val="0"/>
    <c:plotArea>
      <c:layout/>
      <c:barChart>
        <c:barDir val="col"/>
        <c:grouping val="clustered"/>
        <c:varyColors val="0"/>
        <c:ser>
          <c:idx val="0"/>
          <c:order val="0"/>
          <c:tx>
            <c:strRef>
              <c:f>'Sprint Tracker'!$C$4</c:f>
              <c:strCache>
                <c:ptCount val="1"/>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fr-F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'Sprint Tracker'!$A$5:$A$6</c:f>
              <c:strCache>
                <c:ptCount val="2"/>
                <c:pt idx="0">
                  <c:v>Sprint</c:v>
                </c:pt>
                <c:pt idx="1">
                  <c:v>S1</c:v>
                </c:pt>
              </c:strCache>
            </c:strRef>
          </c:cat>
          <c:val>
            <c:numRef>
              <c:f>'Sprint Tracker'!$C$5:$C$6</c:f>
              <c:numCache>
                <c:formatCode>General</c:formatCode>
                <c:ptCount val="2"/>
                <c:pt idx="0">
                  <c:v>0</c:v>
                </c:pt>
                <c:pt idx="1">
                  <c:v>26</c:v>
                </c:pt>
              </c:numCache>
            </c:numRef>
          </c:val>
          <c:extLst>
            <c:ext xmlns:c16="http://schemas.microsoft.com/office/drawing/2014/chart" uri="{C3380CC4-5D6E-409C-BE32-E72D297353CC}">
              <c16:uniqueId val="{00000000-5A41-6A43-9169-49B7D605E53F}"/>
            </c:ext>
          </c:extLst>
        </c:ser>
        <c:dLbls>
          <c:showLegendKey val="0"/>
          <c:showVal val="0"/>
          <c:showCatName val="0"/>
          <c:showSerName val="0"/>
          <c:showPercent val="0"/>
          <c:showBubbleSize val="0"/>
        </c:dLbls>
        <c:gapWidth val="150"/>
        <c:axId val="24155565"/>
        <c:axId val="84568565"/>
      </c:barChart>
      <c:catAx>
        <c:axId val="24155565"/>
        <c:scaling>
          <c:orientation val="minMax"/>
        </c:scaling>
        <c:delete val="0"/>
        <c:axPos val="b"/>
        <c:title>
          <c:tx>
            <c:rich>
              <a:bodyPr rot="0"/>
              <a:lstStyle/>
              <a:p>
                <a:pPr>
                  <a:defRPr sz="1300" b="0" u="none" strike="noStrike">
                    <a:uFillTx/>
                    <a:latin typeface="Arial"/>
                  </a:defRPr>
                </a:pPr>
                <a:r>
                  <a:rPr lang="fr-FR" sz="1000" b="1" u="none" strike="noStrike">
                    <a:solidFill>
                      <a:srgbClr val="000000"/>
                    </a:solidFill>
                    <a:uFillTx/>
                    <a:latin typeface="Calibri"/>
                  </a:rPr>
                  <a:t>Sprint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fr-FR"/>
          </a:p>
        </c:txPr>
        <c:crossAx val="84568565"/>
        <c:crosses val="autoZero"/>
        <c:auto val="1"/>
        <c:lblAlgn val="ctr"/>
        <c:lblOffset val="100"/>
        <c:noMultiLvlLbl val="0"/>
      </c:catAx>
      <c:valAx>
        <c:axId val="8456856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fr-FR" sz="1000" b="1" u="none" strike="noStrike">
                    <a:solidFill>
                      <a:srgbClr val="000000"/>
                    </a:solidFill>
                    <a:uFillTx/>
                    <a:latin typeface="Calibri"/>
                  </a:rPr>
                  <a:t>Story Points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fr-FR"/>
          </a:p>
        </c:txPr>
        <c:crossAx val="2415556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en-US" sz="1400" b="0" u="none" strike="noStrike">
                <a:solidFill>
                  <a:srgbClr val="595959"/>
                </a:solidFill>
                <a:uFillTx/>
                <a:latin typeface="Calibri"/>
              </a:rPr>
              <a:t>Répartition de l'allocation par Value Stream</a:t>
            </a:r>
          </a:p>
        </c:rich>
      </c:tx>
      <c:overlay val="0"/>
      <c:spPr>
        <a:noFill/>
        <a:ln w="0">
          <a:noFill/>
        </a:ln>
      </c:spPr>
    </c:title>
    <c:autoTitleDeleted val="0"/>
    <c:plotArea>
      <c:layout/>
      <c:pieChart>
        <c:varyColors val="1"/>
        <c:ser>
          <c:idx val="0"/>
          <c:order val="0"/>
          <c:tx>
            <c:strRef>
              <c:f>'Flow Metrics'!$B$14</c:f>
              <c:strCache>
                <c:ptCount val="1"/>
                <c:pt idx="0">
                  <c:v>Epics</c:v>
                </c:pt>
              </c:strCache>
            </c:strRef>
          </c:tx>
          <c:spPr>
            <a:solidFill>
              <a:srgbClr val="4F81BD"/>
            </a:solidFill>
            <a:ln w="0">
              <a:noFill/>
            </a:ln>
          </c:spPr>
          <c:dPt>
            <c:idx val="0"/>
            <c:bubble3D val="0"/>
            <c:spPr>
              <a:solidFill>
                <a:srgbClr val="4F81BD"/>
              </a:solidFill>
              <a:ln w="19080">
                <a:solidFill>
                  <a:srgbClr val="FFFFFF"/>
                </a:solidFill>
                <a:round/>
              </a:ln>
            </c:spPr>
            <c:extLst>
              <c:ext xmlns:c16="http://schemas.microsoft.com/office/drawing/2014/chart" uri="{C3380CC4-5D6E-409C-BE32-E72D297353CC}">
                <c16:uniqueId val="{00000001-08AD-7344-9505-EF335243A53E}"/>
              </c:ext>
            </c:extLst>
          </c:dPt>
          <c:dPt>
            <c:idx val="1"/>
            <c:bubble3D val="0"/>
            <c:spPr>
              <a:solidFill>
                <a:srgbClr val="C0504D"/>
              </a:solidFill>
              <a:ln w="19080">
                <a:solidFill>
                  <a:srgbClr val="FFFFFF"/>
                </a:solidFill>
                <a:round/>
              </a:ln>
            </c:spPr>
            <c:extLst>
              <c:ext xmlns:c16="http://schemas.microsoft.com/office/drawing/2014/chart" uri="{C3380CC4-5D6E-409C-BE32-E72D297353CC}">
                <c16:uniqueId val="{00000003-08AD-7344-9505-EF335243A53E}"/>
              </c:ext>
            </c:extLst>
          </c:dPt>
          <c:dPt>
            <c:idx val="2"/>
            <c:bubble3D val="0"/>
            <c:spPr>
              <a:solidFill>
                <a:srgbClr val="9BBB59"/>
              </a:solidFill>
              <a:ln w="19080">
                <a:solidFill>
                  <a:srgbClr val="FFFFFF"/>
                </a:solidFill>
                <a:round/>
              </a:ln>
            </c:spPr>
            <c:extLst>
              <c:ext xmlns:c16="http://schemas.microsoft.com/office/drawing/2014/chart" uri="{C3380CC4-5D6E-409C-BE32-E72D297353CC}">
                <c16:uniqueId val="{00000005-08AD-7344-9505-EF335243A53E}"/>
              </c:ext>
            </c:extLst>
          </c:dPt>
          <c:dPt>
            <c:idx val="3"/>
            <c:bubble3D val="0"/>
            <c:spPr>
              <a:solidFill>
                <a:srgbClr val="8064A2"/>
              </a:solidFill>
              <a:ln w="19080">
                <a:solidFill>
                  <a:srgbClr val="FFFFFF"/>
                </a:solidFill>
                <a:round/>
              </a:ln>
            </c:spPr>
            <c:extLst>
              <c:ext xmlns:c16="http://schemas.microsoft.com/office/drawing/2014/chart" uri="{C3380CC4-5D6E-409C-BE32-E72D297353CC}">
                <c16:uniqueId val="{00000007-08AD-7344-9505-EF335243A53E}"/>
              </c:ext>
            </c:extLst>
          </c:dPt>
          <c:dPt>
            <c:idx val="4"/>
            <c:bubble3D val="0"/>
            <c:spPr>
              <a:solidFill>
                <a:srgbClr val="4BACC6"/>
              </a:solidFill>
              <a:ln w="19080">
                <a:solidFill>
                  <a:srgbClr val="FFFFFF"/>
                </a:solidFill>
                <a:round/>
              </a:ln>
            </c:spPr>
            <c:extLst>
              <c:ext xmlns:c16="http://schemas.microsoft.com/office/drawing/2014/chart" uri="{C3380CC4-5D6E-409C-BE32-E72D297353CC}">
                <c16:uniqueId val="{00000009-08AD-7344-9505-EF335243A53E}"/>
              </c:ext>
            </c:extLst>
          </c:dPt>
          <c:dLbls>
            <c:dLbl>
              <c:idx val="0"/>
              <c:spPr/>
              <c:txPr>
                <a:bodyPr wrap="square"/>
                <a:lstStyle/>
                <a:p>
                  <a:pPr>
                    <a:defRPr sz="1000" b="0" u="none" strike="noStrike">
                      <a:solidFill>
                        <a:srgbClr val="000000"/>
                      </a:solidFill>
                      <a:uFillTx/>
                      <a:latin typeface="Calibri"/>
                    </a:defRPr>
                  </a:pPr>
                  <a:endParaRPr lang="fr-FR"/>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08AD-7344-9505-EF335243A53E}"/>
                </c:ext>
              </c:extLst>
            </c:dLbl>
            <c:dLbl>
              <c:idx val="1"/>
              <c:spPr/>
              <c:txPr>
                <a:bodyPr wrap="square"/>
                <a:lstStyle/>
                <a:p>
                  <a:pPr>
                    <a:defRPr sz="1000" b="0" u="none" strike="noStrike">
                      <a:solidFill>
                        <a:srgbClr val="000000"/>
                      </a:solidFill>
                      <a:uFillTx/>
                      <a:latin typeface="Calibri"/>
                    </a:defRPr>
                  </a:pPr>
                  <a:endParaRPr lang="fr-FR"/>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08AD-7344-9505-EF335243A53E}"/>
                </c:ext>
              </c:extLst>
            </c:dLbl>
            <c:dLbl>
              <c:idx val="2"/>
              <c:spPr/>
              <c:txPr>
                <a:bodyPr wrap="square"/>
                <a:lstStyle/>
                <a:p>
                  <a:pPr>
                    <a:defRPr sz="1000" b="0" u="none" strike="noStrike">
                      <a:solidFill>
                        <a:srgbClr val="000000"/>
                      </a:solidFill>
                      <a:uFillTx/>
                      <a:latin typeface="Calibri"/>
                    </a:defRPr>
                  </a:pPr>
                  <a:endParaRPr lang="fr-FR"/>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08AD-7344-9505-EF335243A53E}"/>
                </c:ext>
              </c:extLst>
            </c:dLbl>
            <c:dLbl>
              <c:idx val="3"/>
              <c:spPr/>
              <c:txPr>
                <a:bodyPr wrap="square"/>
                <a:lstStyle/>
                <a:p>
                  <a:pPr>
                    <a:defRPr sz="1000" b="0" u="none" strike="noStrike">
                      <a:solidFill>
                        <a:srgbClr val="000000"/>
                      </a:solidFill>
                      <a:uFillTx/>
                      <a:latin typeface="Calibri"/>
                    </a:defRPr>
                  </a:pPr>
                  <a:endParaRPr lang="fr-FR"/>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08AD-7344-9505-EF335243A53E}"/>
                </c:ext>
              </c:extLst>
            </c:dLbl>
            <c:dLbl>
              <c:idx val="4"/>
              <c:spPr/>
              <c:txPr>
                <a:bodyPr wrap="square"/>
                <a:lstStyle/>
                <a:p>
                  <a:pPr>
                    <a:defRPr sz="1000" b="0" u="none" strike="noStrike">
                      <a:solidFill>
                        <a:srgbClr val="000000"/>
                      </a:solidFill>
                      <a:uFillTx/>
                      <a:latin typeface="Calibri"/>
                    </a:defRPr>
                  </a:pPr>
                  <a:endParaRPr lang="fr-FR"/>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08AD-7344-9505-EF335243A53E}"/>
                </c:ext>
              </c:extLst>
            </c:dLbl>
            <c:spPr>
              <a:noFill/>
              <a:ln>
                <a:noFill/>
              </a:ln>
              <a:effectLst/>
            </c:spPr>
            <c:txPr>
              <a:bodyPr wrap="square"/>
              <a:lstStyle/>
              <a:p>
                <a:pPr>
                  <a:defRPr sz="1000" b="0" u="none" strike="noStrike">
                    <a:solidFill>
                      <a:srgbClr val="000000"/>
                    </a:solidFill>
                    <a:uFillTx/>
                    <a:latin typeface="Calibri"/>
                  </a:defRPr>
                </a:pPr>
                <a:endParaRPr lang="fr-FR"/>
              </a:p>
            </c:txPr>
            <c:dLblPos val="bestFit"/>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'Flow Metrics'!$A$15:$A$19</c:f>
              <c:strCache>
                <c:ptCount val="5"/>
                <c:pt idx="0">
                  <c:v>Feature</c:v>
                </c:pt>
                <c:pt idx="1">
                  <c:v>Enabler</c:v>
                </c:pt>
                <c:pt idx="2">
                  <c:v>Defect</c:v>
                </c:pt>
                <c:pt idx="3">
                  <c:v>Debt</c:v>
                </c:pt>
                <c:pt idx="4">
                  <c:v>Total</c:v>
                </c:pt>
              </c:strCache>
            </c:strRef>
          </c:cat>
          <c:val>
            <c:numRef>
              <c:f>'Flow Metrics'!$B$15:$B$19</c:f>
              <c:numCache>
                <c:formatCode>0%</c:formatCode>
                <c:ptCount val="5"/>
                <c:pt idx="0">
                  <c:v>0</c:v>
                </c:pt>
                <c:pt idx="1">
                  <c:v>0</c:v>
                </c:pt>
                <c:pt idx="2">
                  <c:v>0</c:v>
                </c:pt>
                <c:pt idx="3">
                  <c:v>0</c:v>
                </c:pt>
              </c:numCache>
            </c:numRef>
          </c:val>
          <c:extLst>
            <c:ext xmlns:c16="http://schemas.microsoft.com/office/drawing/2014/chart" uri="{C3380CC4-5D6E-409C-BE32-E72D297353CC}">
              <c16:uniqueId val="{0000000A-08AD-7344-9505-EF335243A53E}"/>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b"/>
      <c:overlay val="0"/>
      <c:spPr>
        <a:noFill/>
        <a:ln w="0">
          <a:noFill/>
        </a:ln>
      </c:spPr>
      <c:txPr>
        <a:bodyPr/>
        <a:lstStyle/>
        <a:p>
          <a:pPr>
            <a:defRPr sz="900" b="0" u="none" strike="noStrike">
              <a:solidFill>
                <a:srgbClr val="595959"/>
              </a:solidFill>
              <a:uFillTx/>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63360</xdr:colOff>
      <xdr:row>32</xdr:row>
      <xdr:rowOff>12600</xdr:rowOff>
    </xdr:from>
    <xdr:to>
      <xdr:col>2</xdr:col>
      <xdr:colOff>1706720</xdr:colOff>
      <xdr:row>46</xdr:row>
      <xdr:rowOff>43200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1409760</xdr:colOff>
      <xdr:row>48</xdr:row>
      <xdr:rowOff>25560</xdr:rowOff>
    </xdr:from>
    <xdr:to>
      <xdr:col>5</xdr:col>
      <xdr:colOff>284720</xdr:colOff>
      <xdr:row>62</xdr:row>
      <xdr:rowOff>56160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63720</xdr:colOff>
      <xdr:row>48</xdr:row>
      <xdr:rowOff>63360</xdr:rowOff>
    </xdr:from>
    <xdr:to>
      <xdr:col>2</xdr:col>
      <xdr:colOff>1707080</xdr:colOff>
      <xdr:row>62</xdr:row>
      <xdr:rowOff>182880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1854200</xdr:colOff>
      <xdr:row>32</xdr:row>
      <xdr:rowOff>25460</xdr:rowOff>
    </xdr:from>
    <xdr:to>
      <xdr:col>6</xdr:col>
      <xdr:colOff>411660</xdr:colOff>
      <xdr:row>46</xdr:row>
      <xdr:rowOff>144980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114480</xdr:colOff>
      <xdr:row>26</xdr:row>
      <xdr:rowOff>101520</xdr:rowOff>
    </xdr:from>
    <xdr:to>
      <xdr:col>2</xdr:col>
      <xdr:colOff>1991520</xdr:colOff>
      <xdr:row>40</xdr:row>
      <xdr:rowOff>119520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1523900</xdr:colOff>
      <xdr:row>28</xdr:row>
      <xdr:rowOff>126960</xdr:rowOff>
    </xdr:from>
    <xdr:to>
      <xdr:col>14</xdr:col>
      <xdr:colOff>149580</xdr:colOff>
      <xdr:row>40</xdr:row>
      <xdr:rowOff>188880</xdr:rowOff>
    </xdr:to>
    <xdr:graphicFrame macro="">
      <xdr:nvGraphicFramePr>
        <xdr:cNvPr id="5" name="Chart 1">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520820</xdr:colOff>
      <xdr:row>12</xdr:row>
      <xdr:rowOff>165140</xdr:rowOff>
    </xdr:from>
    <xdr:to>
      <xdr:col>16</xdr:col>
      <xdr:colOff>310420</xdr:colOff>
      <xdr:row>26</xdr:row>
      <xdr:rowOff>83720</xdr:rowOff>
    </xdr:to>
    <xdr:graphicFrame macro="">
      <xdr:nvGraphicFramePr>
        <xdr:cNvPr id="6" name="Chart 1">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Glossaire" displayName="Glossaire" ref="A2:B24" totalsRowShown="0">
  <autoFilter ref="A2:B24" xr:uid="{00000000-0009-0000-0100-000005000000}"/>
  <tableColumns count="2">
    <tableColumn id="1" xr3:uid="{00000000-0010-0000-0000-000001000000}" name="Terme"/>
    <tableColumn id="2" xr3:uid="{00000000-0010-0000-0000-000002000000}" name="Défini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OKRKeyResults" displayName="OKRKeyResults" ref="A15:F53" totalsRowShown="0">
  <autoFilter ref="A15:F53" xr:uid="{00000000-0009-0000-0100-000007000000}"/>
  <tableColumns count="6">
    <tableColumn id="1" xr3:uid="{00000000-0010-0000-0100-000001000000}" name="Obj #"/>
    <tableColumn id="2" xr3:uid="{00000000-0010-0000-0100-000002000000}" name="Objectif"/>
    <tableColumn id="3" xr3:uid="{00000000-0010-0000-0100-000003000000}" name="KR #"/>
    <tableColumn id="4" xr3:uid="{00000000-0010-0000-0100-000004000000}" name="Key Result"/>
    <tableColumn id="5" xr3:uid="{00000000-0010-0000-0100-000005000000}" name="Thème(s)"/>
    <tableColumn id="6" xr3:uid="{00000000-0010-0000-0100-000006000000}" name="Targe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ThemesStrategiques" displayName="ThemesStrategiques" ref="A8:F12" totalsRowShown="0">
  <autoFilter ref="A8:F12" xr:uid="{00000000-0009-0000-0100-00000B000000}"/>
  <tableColumns count="6">
    <tableColumn id="1" xr3:uid="{00000000-0010-0000-0200-000001000000}" name="ID"/>
    <tableColumn id="2" xr3:uid="{00000000-0010-0000-0200-000002000000}" name="Thème"/>
    <tableColumn id="3" xr3:uid="{00000000-0010-0000-0200-000003000000}" name="Description"/>
    <tableColumn id="4" xr3:uid="{00000000-0010-0000-0200-000004000000}" name="OVS lié"/>
    <tableColumn id="5" xr3:uid="{00000000-0010-0000-0200-000005000000}" name="Horizon"/>
    <tableColumn id="6" xr3:uid="{00000000-0010-0000-0200-000006000000}" name="Poids budge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CartographieOutils" displayName="CartographieOutils" ref="A39:G51" totalsRowShown="0">
  <autoFilter ref="A39:G51" xr:uid="{00000000-0009-0000-0100-000001000000}"/>
  <tableColumns count="7">
    <tableColumn id="1" xr3:uid="{00000000-0010-0000-0300-000001000000}" name="#"/>
    <tableColumn id="2" xr3:uid="{00000000-0010-0000-0300-000002000000}" name="Outil"/>
    <tableColumn id="3" xr3:uid="{00000000-0010-0000-0300-000003000000}" name="Type"/>
    <tableColumn id="4" xr3:uid="{00000000-0010-0000-0300-000004000000}" name="Public"/>
    <tableColumn id="5" xr3:uid="{00000000-0010-0000-0300-000005000000}" name="Protocole"/>
    <tableColumn id="6" xr3:uid="{00000000-0010-0000-0300-000006000000}" name="VS lié"/>
    <tableColumn id="7" xr3:uid="{00000000-0010-0000-0300-000007000000}" name="Features clé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DVS1Detail" displayName="DVS1Detail" ref="A30:F36" totalsRowShown="0">
  <autoFilter ref="A30:F36" xr:uid="{00000000-0009-0000-0100-000002000000}"/>
  <tableColumns count="6">
    <tableColumn id="1" xr3:uid="{00000000-0010-0000-0400-000001000000}" name="#"/>
    <tableColumn id="2" xr3:uid="{00000000-0010-0000-0400-000002000000}" name="Step"/>
    <tableColumn id="3" xr3:uid="{00000000-0010-0000-0400-000003000000}" name="Owner"/>
    <tableColumn id="4" xr3:uid="{00000000-0010-0000-0400-000004000000}" name="Outils"/>
    <tableColumn id="5" xr3:uid="{00000000-0010-0000-0400-000005000000}" name="Métriques"/>
    <tableColumn id="6" xr3:uid="{00000000-0010-0000-0400-000006000000}" name="Cadenc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OVS1Detail" displayName="OVS1Detail" ref="A9:G17" totalsRowShown="0">
  <autoFilter ref="A9:G17" xr:uid="{00000000-0009-0000-0100-000008000000}"/>
  <tableColumns count="7">
    <tableColumn id="1" xr3:uid="{00000000-0010-0000-0500-000001000000}" name="#"/>
    <tableColumn id="2" xr3:uid="{00000000-0010-0000-0500-000002000000}" name="Step"/>
    <tableColumn id="3" xr3:uid="{00000000-0010-0000-0500-000003000000}" name="Outil"/>
    <tableColumn id="4" xr3:uid="{00000000-0010-0000-0500-000004000000}" name="Owner"/>
    <tableColumn id="5" xr3:uid="{00000000-0010-0000-0500-000005000000}" name="Durée"/>
    <tableColumn id="6" xr3:uid="{00000000-0010-0000-0500-000006000000}" name="Input"/>
    <tableColumn id="7" xr3:uid="{00000000-0010-0000-0500-000007000000}" name="Output"/>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OVS2Detail" displayName="OVS2Detail" ref="A20:G27" totalsRowShown="0">
  <autoFilter ref="A20:G27" xr:uid="{00000000-0009-0000-0100-000009000000}"/>
  <tableColumns count="7">
    <tableColumn id="1" xr3:uid="{00000000-0010-0000-0600-000001000000}" name="#"/>
    <tableColumn id="2" xr3:uid="{00000000-0010-0000-0600-000002000000}" name="Step"/>
    <tableColumn id="3" xr3:uid="{00000000-0010-0000-0600-000003000000}" name="Outil"/>
    <tableColumn id="4" xr3:uid="{00000000-0010-0000-0600-000004000000}" name="Owner"/>
    <tableColumn id="5" xr3:uid="{00000000-0010-0000-0600-000005000000}" name="Durée"/>
    <tableColumn id="6" xr3:uid="{00000000-0010-0000-0600-000006000000}" name="Input"/>
    <tableColumn id="7" xr3:uid="{00000000-0010-0000-0600-000007000000}" name="Output"/>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OVSSummary" displayName="OVSSummary" ref="A4:G6" totalsRowShown="0">
  <autoFilter ref="A4:G6" xr:uid="{00000000-0009-0000-0100-00000A000000}"/>
  <tableColumns count="7">
    <tableColumn id="1" xr3:uid="{00000000-0010-0000-0700-000001000000}" name="ID"/>
    <tableColumn id="2" xr3:uid="{00000000-0010-0000-0700-000002000000}" name="Value Stream"/>
    <tableColumn id="3" xr3:uid="{00000000-0010-0000-0700-000003000000}" name="Trigger"/>
    <tableColumn id="4" xr3:uid="{00000000-0010-0000-0700-000004000000}" name="Value Delivered"/>
    <tableColumn id="5" xr3:uid="{00000000-0010-0000-0700-000005000000}" name="Key Steps"/>
    <tableColumn id="6" xr3:uid="{00000000-0010-0000-0700-000006000000}" name="Lead Time"/>
    <tableColumn id="7" xr3:uid="{00000000-0010-0000-0700-000007000000}" name="Bottleneck"/>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NEOPRO_SAFe_PortfoliovTravail.xlsx"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NEOPRO_SAFe_PortfoliovTravail.xlsx" TargetMode="External"/><Relationship Id="rId7" Type="http://schemas.openxmlformats.org/officeDocument/2006/relationships/hyperlink" Target="NEOPRO_SAFe_PortfoliovTravail.xlsx" TargetMode="External"/><Relationship Id="rId2" Type="http://schemas.openxmlformats.org/officeDocument/2006/relationships/hyperlink" Target="NEOPRO_SAFe_PortfoliovTravail.xlsx" TargetMode="External"/><Relationship Id="rId1" Type="http://schemas.openxmlformats.org/officeDocument/2006/relationships/hyperlink" Target="NEOPRO_SAFe_PortfoliovTravail.xlsx" TargetMode="External"/><Relationship Id="rId6" Type="http://schemas.openxmlformats.org/officeDocument/2006/relationships/hyperlink" Target="NEOPRO_SAFe_PortfoliovTravail.xlsx" TargetMode="External"/><Relationship Id="rId5" Type="http://schemas.openxmlformats.org/officeDocument/2006/relationships/hyperlink" Target="NEOPRO_SAFe_PortfoliovTravail.xlsx" TargetMode="External"/><Relationship Id="rId4" Type="http://schemas.openxmlformats.org/officeDocument/2006/relationships/hyperlink" Target="NEOPRO_SAFe_PortfoliovTravail.xlsx"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NEOPRO_SAFe_PortfoliovTravail.xlsx"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hyperlink" Target="NEOPRO_SAFe_PortfoliovTravail.xlsx"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hyperlink" Target="NEOPRO_SAFe_PortfoliovTravail.xlsx"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hyperlink" Target="NEOPRO_SAFe_PortfoliovTravail.xls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NEOPRO_SAFe_PortfoliovTravail.xlsx"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NEOPRO_SAFe_PortfoliovTravail.xls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NEOPRO_SAFe_PortfoliovTravail.xlsx"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NEOPRO_SAFe_PortfoliovTravail.xlsx" TargetMode="Externa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showGridLines="0" zoomScaleNormal="100" workbookViewId="0">
      <pane ySplit="1" topLeftCell="A2" activePane="bottomLeft" state="frozen"/>
      <selection pane="bottomLeft" sqref="A1:H1"/>
    </sheetView>
  </sheetViews>
  <sheetFormatPr baseColWidth="10" defaultColWidth="8.6640625" defaultRowHeight="15" customHeight="1" outlineLevelRow="1" x14ac:dyDescent="0.2"/>
  <cols>
    <col min="1" max="1" width="21.5" bestFit="1" customWidth="1"/>
    <col min="2" max="2" width="11.83203125" bestFit="1" customWidth="1"/>
    <col min="3" max="3" width="44.6640625" bestFit="1" customWidth="1"/>
    <col min="4" max="4" width="3.5" bestFit="1" customWidth="1"/>
    <col min="5" max="5" width="21.5" bestFit="1" customWidth="1"/>
    <col min="6" max="6" width="4.1640625" bestFit="1" customWidth="1"/>
    <col min="7" max="7" width="13.1640625" bestFit="1" customWidth="1"/>
    <col min="8" max="8" width="10" bestFit="1" customWidth="1"/>
    <col min="10" max="11" width="11.5" customWidth="1"/>
  </cols>
  <sheetData>
    <row r="1" spans="1:8" ht="19.5" customHeight="1" x14ac:dyDescent="0.2">
      <c r="A1" s="267" t="s">
        <v>0</v>
      </c>
      <c r="B1" s="267"/>
      <c r="C1" s="267"/>
      <c r="D1" s="267"/>
      <c r="E1" s="267"/>
      <c r="F1" s="267"/>
      <c r="G1" s="267"/>
      <c r="H1" s="267"/>
    </row>
    <row r="2" spans="1:8" ht="15" customHeight="1" x14ac:dyDescent="0.2">
      <c r="A2" s="3"/>
      <c r="B2" s="3"/>
      <c r="C2" s="3"/>
      <c r="D2" s="3"/>
      <c r="E2" s="3"/>
      <c r="F2" s="3"/>
      <c r="G2" s="3"/>
      <c r="H2" s="3"/>
    </row>
    <row r="3" spans="1:8" ht="15" customHeight="1" x14ac:dyDescent="0.2">
      <c r="A3" s="268" t="s">
        <v>1</v>
      </c>
      <c r="B3" s="268"/>
      <c r="C3" s="268"/>
      <c r="D3" s="268"/>
      <c r="E3" s="268"/>
      <c r="F3" s="268"/>
      <c r="G3" s="268"/>
      <c r="H3" s="268"/>
    </row>
    <row r="4" spans="1:8" ht="18" customHeight="1" x14ac:dyDescent="0.2">
      <c r="A4" s="4" t="s">
        <v>2</v>
      </c>
      <c r="B4" s="5">
        <f>COUNTA('Epics &amp; LBC'!A4:A50)</f>
        <v>21</v>
      </c>
      <c r="C4" s="6" t="s">
        <v>3</v>
      </c>
      <c r="D4" s="7">
        <f>COUNTIF('Features &amp; US'!B5:B100,"F-*")</f>
        <v>35</v>
      </c>
      <c r="E4" s="6" t="s">
        <v>4</v>
      </c>
      <c r="F4" s="7">
        <f>COUNTA('User Stories'!A5:A500)</f>
        <v>256</v>
      </c>
      <c r="G4" s="6" t="s">
        <v>5</v>
      </c>
      <c r="H4" s="8">
        <f>SUM('User Stories'!E5:E500)</f>
        <v>821</v>
      </c>
    </row>
    <row r="5" spans="1:8" ht="16.5" customHeight="1" x14ac:dyDescent="0.2">
      <c r="A5" s="9" t="s">
        <v>6</v>
      </c>
      <c r="B5" s="10">
        <f>SUMIF('Features &amp; US'!I5:I100,"PI-1*",'Features &amp; US'!E5:E100)</f>
        <v>134</v>
      </c>
      <c r="C5" s="11" t="s">
        <v>7</v>
      </c>
      <c r="D5" s="10">
        <f>SUMIF('Features &amp; US'!I5:I100,"PI-2*",'Features &amp; US'!E5:E100)</f>
        <v>61</v>
      </c>
      <c r="E5" s="11" t="s">
        <v>8</v>
      </c>
      <c r="F5" s="10">
        <f>SUMIF('Features &amp; US'!I5:I100,"PI-3*",'Features &amp; US'!E5:E100)</f>
        <v>51</v>
      </c>
      <c r="G5" s="11" t="s">
        <v>9</v>
      </c>
      <c r="H5" s="12">
        <v>350</v>
      </c>
    </row>
    <row r="6" spans="1:8" ht="15" customHeight="1" x14ac:dyDescent="0.2">
      <c r="A6" s="2"/>
      <c r="B6" s="2"/>
      <c r="C6" s="2"/>
      <c r="D6" s="2"/>
      <c r="E6" s="2"/>
      <c r="F6" s="2"/>
      <c r="G6" s="2"/>
      <c r="H6" s="2"/>
    </row>
    <row r="7" spans="1:8" ht="15" customHeight="1" x14ac:dyDescent="0.2">
      <c r="A7" s="269" t="s">
        <v>10</v>
      </c>
      <c r="B7" s="269"/>
      <c r="C7" s="269" t="s">
        <v>11</v>
      </c>
      <c r="D7" s="269"/>
      <c r="E7" s="269" t="s">
        <v>12</v>
      </c>
      <c r="F7" s="269"/>
      <c r="G7" s="270" t="s">
        <v>13</v>
      </c>
      <c r="H7" s="270"/>
    </row>
    <row r="8" spans="1:8" ht="15" customHeight="1" x14ac:dyDescent="0.2">
      <c r="A8" s="3"/>
      <c r="B8" s="3"/>
      <c r="C8" s="3"/>
      <c r="D8" s="3"/>
      <c r="E8" s="13" t="s">
        <v>14</v>
      </c>
      <c r="F8" s="3"/>
      <c r="G8" s="3"/>
      <c r="H8" s="3"/>
    </row>
    <row r="9" spans="1:8" ht="15.75" customHeight="1" x14ac:dyDescent="0.2">
      <c r="A9" s="14" t="s">
        <v>15</v>
      </c>
      <c r="B9" s="15">
        <f>COUNTIF('Epics &amp; LBC'!G4:G50,"En cours")</f>
        <v>2</v>
      </c>
      <c r="C9" s="14" t="s">
        <v>16</v>
      </c>
      <c r="D9" s="16">
        <f>COUNTIF('Features &amp; US'!G5:G100,"Terminé")</f>
        <v>9</v>
      </c>
      <c r="E9" s="14" t="s">
        <v>17</v>
      </c>
      <c r="F9" s="17">
        <f>COUNTIF(ROAM!C5:C12,"Accepté")+COUNTIF(ROAM!C5:C12,"Pris en charge")</f>
        <v>6</v>
      </c>
      <c r="G9" s="14" t="s">
        <v>18</v>
      </c>
      <c r="H9" s="18">
        <f>COUNTIF('Epics &amp; LBC'!$D$4:$D$24,"TS1*")/COUNTA('Epics &amp; LBC'!$A$4:$A$24)</f>
        <v>0.2857142857142857</v>
      </c>
    </row>
    <row r="10" spans="1:8" ht="15.75" customHeight="1" x14ac:dyDescent="0.2">
      <c r="A10" s="19" t="s">
        <v>16</v>
      </c>
      <c r="B10" s="20">
        <f>COUNTIF('Epics &amp; LBC'!G4:G50,"Terminé")</f>
        <v>3</v>
      </c>
      <c r="C10" s="19" t="s">
        <v>19</v>
      </c>
      <c r="D10" s="21">
        <f>COUNTIF('Features &amp; US'!G5:G100,"Backlog")</f>
        <v>26</v>
      </c>
      <c r="E10" s="19" t="s">
        <v>20</v>
      </c>
      <c r="F10" s="20">
        <f>COUNTIF(ROAM!C5:C12,"Atténué")</f>
        <v>2</v>
      </c>
      <c r="G10" s="19" t="s">
        <v>21</v>
      </c>
      <c r="H10" s="18">
        <f>COUNTIF('Epics &amp; LBC'!$D$4:$D$24,"TS2*")/COUNTA('Epics &amp; LBC'!$A$4:$A$24)</f>
        <v>0.33333333333333331</v>
      </c>
    </row>
    <row r="11" spans="1:8" ht="15.75" customHeight="1" x14ac:dyDescent="0.2">
      <c r="A11" s="14" t="s">
        <v>19</v>
      </c>
      <c r="B11" s="22">
        <f>COUNTIF('Epics &amp; LBC'!G4:G50,"Backlog")</f>
        <v>16</v>
      </c>
      <c r="C11" s="14" t="s">
        <v>15</v>
      </c>
      <c r="D11" s="16">
        <f>COUNTIF('Features &amp; US'!G5:G100,"En cours")</f>
        <v>0</v>
      </c>
      <c r="E11" s="14" t="s">
        <v>22</v>
      </c>
      <c r="F11" s="15">
        <f>COUNTIF(ROAM!C5:C12,"Résolu")</f>
        <v>0</v>
      </c>
      <c r="G11" s="14" t="s">
        <v>23</v>
      </c>
      <c r="H11" s="18">
        <f>COUNTIF('Epics &amp; LBC'!$D$4:$D$24,"TS3*")/COUNTA('Epics &amp; LBC'!$A$4:$A$24)</f>
        <v>0.14285714285714285</v>
      </c>
    </row>
    <row r="12" spans="1:8" ht="15.75" customHeight="1" x14ac:dyDescent="0.2">
      <c r="A12" s="23" t="s">
        <v>24</v>
      </c>
      <c r="B12" s="24">
        <f>SUM(B9:B11)</f>
        <v>21</v>
      </c>
      <c r="C12" s="23" t="s">
        <v>24</v>
      </c>
      <c r="D12" s="24">
        <f>SUM(D9:D11)</f>
        <v>35</v>
      </c>
      <c r="E12" s="25" t="s">
        <v>24</v>
      </c>
      <c r="F12" s="26">
        <f>COUNTA(ROAM!A5:A12)</f>
        <v>8</v>
      </c>
      <c r="G12" s="25" t="s">
        <v>25</v>
      </c>
      <c r="H12" s="27">
        <f>COUNTIF('Epics &amp; LBC'!$D$4:$D$24,"TS4*")/COUNTA('Epics &amp; LBC'!$A$4:$A$24)</f>
        <v>0.23809523809523808</v>
      </c>
    </row>
    <row r="13" spans="1:8" ht="15" customHeight="1" x14ac:dyDescent="0.2">
      <c r="A13" s="271"/>
      <c r="B13" s="271"/>
      <c r="C13" s="271"/>
      <c r="D13" s="271"/>
      <c r="E13" s="271"/>
      <c r="F13" s="271"/>
      <c r="G13" s="271"/>
      <c r="H13" s="271"/>
    </row>
    <row r="14" spans="1:8" ht="15" customHeight="1" x14ac:dyDescent="0.2">
      <c r="A14" s="28" t="s">
        <v>26</v>
      </c>
      <c r="B14" s="1"/>
      <c r="C14" s="273"/>
      <c r="D14" s="273"/>
      <c r="E14" s="273"/>
      <c r="F14" s="273"/>
      <c r="G14" s="1"/>
      <c r="H14" s="29"/>
    </row>
    <row r="15" spans="1:8" ht="15" customHeight="1" x14ac:dyDescent="0.2">
      <c r="A15" s="30" t="s">
        <v>27</v>
      </c>
      <c r="B15" s="31" t="s">
        <v>28</v>
      </c>
      <c r="C15" s="274" t="s">
        <v>29</v>
      </c>
      <c r="D15" s="274"/>
      <c r="E15" s="274"/>
      <c r="F15" s="274"/>
      <c r="G15" s="31" t="s">
        <v>30</v>
      </c>
      <c r="H15" s="32" t="s">
        <v>31</v>
      </c>
    </row>
    <row r="16" spans="1:8" ht="15" customHeight="1" x14ac:dyDescent="0.2">
      <c r="A16" s="33" t="s">
        <v>32</v>
      </c>
      <c r="B16" s="34" t="s">
        <v>33</v>
      </c>
      <c r="C16" s="275" t="s">
        <v>34</v>
      </c>
      <c r="D16" s="275"/>
      <c r="E16" s="275"/>
      <c r="F16" s="275"/>
      <c r="G16" s="35">
        <f>B5</f>
        <v>134</v>
      </c>
      <c r="H16" s="36" t="s">
        <v>35</v>
      </c>
    </row>
    <row r="17" spans="1:8" ht="15" customHeight="1" x14ac:dyDescent="0.2">
      <c r="A17" s="37" t="s">
        <v>36</v>
      </c>
      <c r="B17" s="38" t="s">
        <v>37</v>
      </c>
      <c r="C17" s="276" t="s">
        <v>38</v>
      </c>
      <c r="D17" s="276"/>
      <c r="E17" s="276"/>
      <c r="F17" s="276"/>
      <c r="G17" s="39">
        <f>D5</f>
        <v>61</v>
      </c>
      <c r="H17" s="40" t="s">
        <v>39</v>
      </c>
    </row>
    <row r="18" spans="1:8" ht="15" customHeight="1" x14ac:dyDescent="0.2">
      <c r="A18" s="41" t="s">
        <v>40</v>
      </c>
      <c r="B18" s="42" t="s">
        <v>41</v>
      </c>
      <c r="C18" s="43" t="s">
        <v>42</v>
      </c>
      <c r="D18" s="44"/>
      <c r="E18" s="44"/>
      <c r="F18" s="44"/>
      <c r="G18" s="45">
        <f>F5</f>
        <v>51</v>
      </c>
      <c r="H18" s="46" t="s">
        <v>43</v>
      </c>
    </row>
    <row r="19" spans="1:8" ht="15" customHeight="1" x14ac:dyDescent="0.2">
      <c r="A19" s="271"/>
      <c r="B19" s="271"/>
      <c r="C19" s="271"/>
      <c r="D19" s="271"/>
      <c r="E19" s="271"/>
      <c r="F19" s="271"/>
      <c r="G19" s="271"/>
      <c r="H19" s="271"/>
    </row>
    <row r="20" spans="1:8" ht="15" customHeight="1" x14ac:dyDescent="0.2">
      <c r="A20" s="28" t="s">
        <v>44</v>
      </c>
      <c r="B20" s="1"/>
      <c r="C20" s="1"/>
      <c r="D20" s="1"/>
      <c r="E20" s="1"/>
      <c r="F20" s="1"/>
      <c r="G20" s="1"/>
      <c r="H20" s="29"/>
    </row>
    <row r="21" spans="1:8" ht="15" customHeight="1" x14ac:dyDescent="0.2">
      <c r="A21" s="47" t="s">
        <v>45</v>
      </c>
      <c r="B21" s="48" t="s">
        <v>46</v>
      </c>
      <c r="C21" s="48" t="s">
        <v>47</v>
      </c>
      <c r="D21" s="48" t="s">
        <v>48</v>
      </c>
      <c r="E21" s="48" t="s">
        <v>49</v>
      </c>
      <c r="F21" s="48" t="s">
        <v>50</v>
      </c>
      <c r="G21" s="48" t="s">
        <v>51</v>
      </c>
      <c r="H21" s="49" t="s">
        <v>49</v>
      </c>
    </row>
    <row r="22" spans="1:8" ht="15.75" customHeight="1" x14ac:dyDescent="0.2">
      <c r="A22" s="50" t="s">
        <v>52</v>
      </c>
      <c r="B22" s="51">
        <f>'Sprint Tracker'!D6</f>
        <v>38</v>
      </c>
      <c r="C22" s="51">
        <f>'Sprint Tracker'!D7</f>
        <v>23</v>
      </c>
      <c r="D22" s="51">
        <f>'Sprint Tracker'!D8</f>
        <v>16</v>
      </c>
      <c r="E22" s="51">
        <f>IFERROR(AVERAGE(B22:D22),"-")</f>
        <v>25.666666666666668</v>
      </c>
      <c r="F22" s="51">
        <f>IF('Sprint Tracker'!D14="","-",'Sprint Tracker'!D14)</f>
        <v>0</v>
      </c>
      <c r="G22" s="51">
        <f>IF('Sprint Tracker'!D15="","-",'Sprint Tracker'!D15)</f>
        <v>0</v>
      </c>
      <c r="H22" s="52">
        <f>IFERROR(AVERAGE('Sprint Tracker'!D4:D7),0)</f>
        <v>30.5</v>
      </c>
    </row>
    <row r="23" spans="1:8" ht="15" customHeight="1" x14ac:dyDescent="0.2">
      <c r="A23" s="271"/>
      <c r="B23" s="271"/>
      <c r="C23" s="271"/>
      <c r="D23" s="271"/>
      <c r="E23" s="271"/>
      <c r="F23" s="271"/>
      <c r="G23" s="271"/>
      <c r="H23" s="271"/>
    </row>
    <row r="24" spans="1:8" ht="15.75" customHeight="1" x14ac:dyDescent="0.2">
      <c r="A24" s="272" t="s">
        <v>53</v>
      </c>
      <c r="B24" s="272"/>
      <c r="C24" s="272"/>
      <c r="D24" s="272"/>
      <c r="E24" s="272"/>
      <c r="F24" s="272"/>
      <c r="G24" s="272"/>
      <c r="H24" s="272"/>
    </row>
    <row r="25" spans="1:8" ht="15" customHeight="1" x14ac:dyDescent="0.2">
      <c r="A25" s="53" t="s">
        <v>54</v>
      </c>
      <c r="B25" s="54"/>
      <c r="C25" s="54"/>
      <c r="D25" s="54"/>
      <c r="E25" s="53" t="s">
        <v>55</v>
      </c>
      <c r="F25" s="54"/>
      <c r="G25" s="55" t="s">
        <v>56</v>
      </c>
      <c r="H25" s="56"/>
    </row>
    <row r="26" spans="1:8" ht="15" customHeight="1" x14ac:dyDescent="0.2">
      <c r="A26" s="57" t="s">
        <v>57</v>
      </c>
      <c r="B26" s="58"/>
      <c r="C26" s="59"/>
      <c r="D26" s="60"/>
      <c r="E26" s="61" t="s">
        <v>58</v>
      </c>
      <c r="F26" s="60"/>
      <c r="G26" s="62"/>
      <c r="H26" s="63"/>
    </row>
    <row r="27" spans="1:8" ht="15" customHeight="1" x14ac:dyDescent="0.2">
      <c r="A27" s="64" t="s">
        <v>59</v>
      </c>
      <c r="B27" s="3"/>
      <c r="C27" s="3"/>
      <c r="D27" s="3"/>
      <c r="E27" s="64" t="s">
        <v>60</v>
      </c>
      <c r="F27" s="3"/>
      <c r="G27" s="3"/>
      <c r="H27" s="3"/>
    </row>
    <row r="28" spans="1:8" ht="15" customHeight="1" outlineLevel="1" x14ac:dyDescent="0.2">
      <c r="A28" s="65" t="s">
        <v>61</v>
      </c>
      <c r="B28" s="3"/>
      <c r="C28" s="3"/>
      <c r="D28" s="3"/>
      <c r="E28" s="64" t="s">
        <v>62</v>
      </c>
      <c r="F28" s="3"/>
      <c r="G28" s="3"/>
      <c r="H28" s="3"/>
    </row>
    <row r="29" spans="1:8" ht="15" customHeight="1" outlineLevel="1" x14ac:dyDescent="0.2">
      <c r="A29" s="64" t="s">
        <v>63</v>
      </c>
      <c r="B29" s="3"/>
      <c r="C29" s="3"/>
      <c r="D29" s="3"/>
      <c r="E29" s="64" t="s">
        <v>14</v>
      </c>
      <c r="F29" s="3"/>
      <c r="G29" s="3"/>
      <c r="H29" s="3"/>
    </row>
    <row r="30" spans="1:8" ht="15" customHeight="1" outlineLevel="1" x14ac:dyDescent="0.2">
      <c r="A30" s="64" t="s">
        <v>64</v>
      </c>
      <c r="B30" s="3"/>
      <c r="C30" s="3"/>
      <c r="D30" s="3"/>
      <c r="E30" s="64" t="s">
        <v>65</v>
      </c>
      <c r="F30" s="3"/>
      <c r="G30" s="3"/>
      <c r="H30" s="3"/>
    </row>
    <row r="31" spans="1:8" ht="15" customHeight="1" outlineLevel="1" x14ac:dyDescent="0.2">
      <c r="A31" s="64" t="s">
        <v>66</v>
      </c>
      <c r="B31" s="3"/>
      <c r="C31" s="3"/>
      <c r="D31" s="3"/>
      <c r="E31" s="64" t="s">
        <v>67</v>
      </c>
      <c r="F31" s="3"/>
      <c r="G31" s="3"/>
      <c r="H31" s="3"/>
    </row>
    <row r="32" spans="1:8" ht="15" customHeight="1" outlineLevel="1" x14ac:dyDescent="0.2"/>
    <row r="33" ht="15" customHeight="1" outlineLevel="1" x14ac:dyDescent="0.2"/>
    <row r="34" ht="15" customHeight="1" outlineLevel="1" x14ac:dyDescent="0.2"/>
    <row r="35" ht="15" customHeight="1" outlineLevel="1" x14ac:dyDescent="0.2"/>
    <row r="36" ht="15" customHeight="1" outlineLevel="1" x14ac:dyDescent="0.2"/>
    <row r="37" ht="15" customHeight="1" outlineLevel="1" x14ac:dyDescent="0.2"/>
    <row r="38" ht="15" customHeight="1" outlineLevel="1" x14ac:dyDescent="0.2"/>
  </sheetData>
  <mergeCells count="14">
    <mergeCell ref="A19:H19"/>
    <mergeCell ref="A23:H23"/>
    <mergeCell ref="A24:H24"/>
    <mergeCell ref="A13:H13"/>
    <mergeCell ref="C14:F14"/>
    <mergeCell ref="C15:F15"/>
    <mergeCell ref="C16:F16"/>
    <mergeCell ref="C17:F17"/>
    <mergeCell ref="A1:H1"/>
    <mergeCell ref="A3:H3"/>
    <mergeCell ref="A7:B7"/>
    <mergeCell ref="C7:D7"/>
    <mergeCell ref="E7:F7"/>
    <mergeCell ref="G7:H7"/>
  </mergeCells>
  <hyperlinks>
    <hyperlink ref="A25" location="'Glossaire'!A1" display="→ Glossaire" xr:uid="{00000000-0004-0000-0000-000000000000}"/>
    <hyperlink ref="E25" location="'Vision &amp; OKR'!A1" display="→ Vision &amp; OKR" xr:uid="{00000000-0004-0000-0000-000001000000}"/>
    <hyperlink ref="G25" r:id="rId1" location="'Guide%20Gabin'!A1" xr:uid="{00000000-0004-0000-0000-000002000000}"/>
    <hyperlink ref="A26" location="'Value Streams'!A1" display="→ Value Streams" xr:uid="{00000000-0004-0000-0000-000003000000}"/>
    <hyperlink ref="E26" location="'Epics &amp; LBC'!A1" display="→ Epics &amp; LBC" xr:uid="{00000000-0004-0000-0000-000004000000}"/>
    <hyperlink ref="A27" location="'Lean Business Cases'!A1" display="→ Lean Business Cases" xr:uid="{00000000-0004-0000-0000-000005000000}"/>
    <hyperlink ref="E27" location="'Features &amp; US'!A1" display="→ Features &amp; US" xr:uid="{00000000-0004-0000-0000-000006000000}"/>
    <hyperlink ref="A28" location="'PI Objectives'!A1" display="→ PI Objectives" xr:uid="{00000000-0004-0000-0000-000007000000}"/>
    <hyperlink ref="E28" location="'Sprint Tracker'!A1" display="→ Sprint Tracker" xr:uid="{00000000-0004-0000-0000-000008000000}"/>
    <hyperlink ref="A29" location="'ROAM'!A1" display="→ ROAM" xr:uid="{00000000-0004-0000-0000-000009000000}"/>
    <hyperlink ref="E29" location="'Inspect &amp; Adapt'!A1" display="→ Inspect &amp; Adapt" xr:uid="{00000000-0004-0000-0000-00000A000000}"/>
    <hyperlink ref="A30" location="'Flow Metrics'!A1" display="→ Flow Metrics" xr:uid="{00000000-0004-0000-0000-00000B000000}"/>
    <hyperlink ref="E30" location="'Implemented Backlog'!A1" display="→ Implemented Backlog" xr:uid="{00000000-0004-0000-0000-00000C000000}"/>
    <hyperlink ref="A31" location="'User Stories'!A1" display="→ User Stories" xr:uid="{00000000-0004-0000-0000-00000D000000}"/>
    <hyperlink ref="E31" location="'_Metadata'!A1" display="→ _Metadata" xr:uid="{00000000-0004-0000-0000-00000E000000}"/>
  </hyperlinks>
  <pageMargins left="0.75" right="0.75" top="1" bottom="1" header="0.511811023622047" footer="0.511811023622047"/>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5"/>
  <sheetViews>
    <sheetView zoomScaleNormal="100" workbookViewId="0">
      <pane ySplit="2" topLeftCell="A3" activePane="bottomLeft" state="frozen"/>
      <selection pane="bottomLeft" activeCell="E9" sqref="E9"/>
    </sheetView>
  </sheetViews>
  <sheetFormatPr baseColWidth="10" defaultColWidth="8.6640625" defaultRowHeight="15" x14ac:dyDescent="0.2"/>
  <cols>
    <col min="1" max="1" width="4" customWidth="1"/>
    <col min="2" max="2" width="28" customWidth="1"/>
    <col min="3" max="5" width="38" customWidth="1"/>
    <col min="6" max="6" width="4" customWidth="1"/>
  </cols>
  <sheetData>
    <row r="1" spans="1:15" ht="18" x14ac:dyDescent="0.2">
      <c r="A1" s="3"/>
      <c r="B1" s="277" t="s">
        <v>68</v>
      </c>
      <c r="C1" s="277"/>
      <c r="D1" s="277"/>
      <c r="E1" s="277"/>
      <c r="F1" s="3"/>
      <c r="G1" s="3"/>
      <c r="H1" s="3"/>
      <c r="I1" s="3"/>
      <c r="J1" s="3"/>
      <c r="K1" s="3"/>
      <c r="L1" s="3"/>
      <c r="M1" s="3"/>
      <c r="N1" s="3"/>
      <c r="O1" s="3"/>
    </row>
    <row r="2" spans="1:15" x14ac:dyDescent="0.2">
      <c r="A2" s="3"/>
      <c r="B2" s="278" t="s">
        <v>69</v>
      </c>
      <c r="C2" s="278"/>
      <c r="D2" s="278"/>
      <c r="E2" s="278"/>
      <c r="F2" s="3"/>
      <c r="G2" s="3"/>
      <c r="H2" s="3"/>
      <c r="I2" s="3"/>
      <c r="J2" s="3"/>
      <c r="K2" s="3"/>
      <c r="L2" s="3"/>
      <c r="M2" s="3"/>
      <c r="N2" s="3"/>
      <c r="O2" s="66" t="s">
        <v>70</v>
      </c>
    </row>
    <row r="3" spans="1:15" x14ac:dyDescent="0.2">
      <c r="A3" s="3"/>
      <c r="B3" s="3"/>
      <c r="C3" s="3"/>
      <c r="D3" s="3"/>
      <c r="E3" s="3"/>
      <c r="F3" s="3"/>
      <c r="G3" s="3"/>
      <c r="H3" s="3"/>
      <c r="I3" s="3"/>
      <c r="J3" s="3"/>
      <c r="K3" s="3"/>
      <c r="L3" s="3"/>
      <c r="M3" s="3"/>
      <c r="N3" s="3"/>
      <c r="O3" s="3"/>
    </row>
    <row r="4" spans="1:15" ht="18" x14ac:dyDescent="0.2">
      <c r="A4" s="3"/>
      <c r="B4" s="279" t="s">
        <v>71</v>
      </c>
      <c r="C4" s="279"/>
      <c r="D4" s="279"/>
      <c r="E4" s="279"/>
      <c r="F4" s="3"/>
      <c r="G4" s="3"/>
      <c r="H4" s="3"/>
      <c r="I4" s="3"/>
      <c r="J4" s="3"/>
      <c r="K4" s="3"/>
      <c r="L4" s="3"/>
      <c r="M4" s="3"/>
      <c r="N4" s="3"/>
      <c r="O4" s="3"/>
    </row>
    <row r="5" spans="1:15" x14ac:dyDescent="0.2">
      <c r="A5" s="3"/>
      <c r="B5" s="280" t="s">
        <v>72</v>
      </c>
      <c r="C5" s="280"/>
      <c r="D5" s="280"/>
      <c r="E5" s="280"/>
      <c r="F5" s="3"/>
      <c r="G5" s="3"/>
      <c r="H5" s="3"/>
      <c r="I5" s="3"/>
      <c r="J5" s="3"/>
      <c r="K5" s="3"/>
      <c r="L5" s="3"/>
      <c r="M5" s="3"/>
      <c r="N5" s="3"/>
      <c r="O5" s="3"/>
    </row>
    <row r="6" spans="1:15" x14ac:dyDescent="0.2">
      <c r="A6" s="3"/>
      <c r="B6" s="3"/>
      <c r="C6" s="3"/>
      <c r="D6" s="3"/>
      <c r="E6" s="3"/>
      <c r="F6" s="3"/>
      <c r="G6" s="3"/>
      <c r="H6" s="3"/>
      <c r="I6" s="3"/>
      <c r="J6" s="3"/>
      <c r="K6" s="3"/>
      <c r="L6" s="3"/>
      <c r="M6" s="3"/>
      <c r="N6" s="3"/>
      <c r="O6" s="3"/>
    </row>
    <row r="7" spans="1:15" ht="18" x14ac:dyDescent="0.2">
      <c r="A7" s="3"/>
      <c r="B7" s="279" t="s">
        <v>73</v>
      </c>
      <c r="C7" s="279"/>
      <c r="D7" s="279"/>
      <c r="E7" s="279"/>
      <c r="F7" s="3"/>
      <c r="G7" s="3"/>
      <c r="H7" s="3"/>
      <c r="I7" s="3"/>
      <c r="J7" s="3"/>
      <c r="K7" s="3"/>
      <c r="L7" s="3"/>
      <c r="M7" s="3"/>
      <c r="N7" s="3"/>
      <c r="O7" s="3"/>
    </row>
    <row r="8" spans="1:15" x14ac:dyDescent="0.2">
      <c r="A8" s="3"/>
      <c r="B8" s="67" t="s">
        <v>74</v>
      </c>
      <c r="C8" s="67" t="s">
        <v>75</v>
      </c>
      <c r="D8" s="67" t="s">
        <v>76</v>
      </c>
      <c r="E8" s="67" t="s">
        <v>77</v>
      </c>
      <c r="F8" s="3"/>
      <c r="G8" s="3"/>
      <c r="H8" s="3"/>
      <c r="I8" s="3"/>
      <c r="J8" s="3"/>
      <c r="K8" s="3"/>
      <c r="L8" s="3"/>
      <c r="M8" s="3"/>
      <c r="N8" s="3"/>
      <c r="O8" s="3"/>
    </row>
    <row r="9" spans="1:15" ht="70" x14ac:dyDescent="0.2">
      <c r="A9" s="3"/>
      <c r="B9" s="68" t="s">
        <v>78</v>
      </c>
      <c r="C9" s="68" t="s">
        <v>79</v>
      </c>
      <c r="D9" s="68" t="s">
        <v>80</v>
      </c>
      <c r="E9" s="68" t="s">
        <v>81</v>
      </c>
      <c r="F9" s="3"/>
      <c r="G9" s="3"/>
      <c r="H9" s="3"/>
      <c r="I9" s="3"/>
      <c r="J9" s="3"/>
      <c r="K9" s="3"/>
      <c r="L9" s="3"/>
      <c r="M9" s="3"/>
      <c r="N9" s="3"/>
      <c r="O9" s="3"/>
    </row>
    <row r="10" spans="1:15" x14ac:dyDescent="0.2">
      <c r="A10" s="3"/>
      <c r="B10" s="3"/>
      <c r="C10" s="3"/>
      <c r="D10" s="3"/>
      <c r="E10" s="3"/>
      <c r="F10" s="3"/>
      <c r="G10" s="3"/>
      <c r="H10" s="3"/>
      <c r="I10" s="3"/>
      <c r="J10" s="3"/>
      <c r="K10" s="3"/>
      <c r="L10" s="3"/>
      <c r="M10" s="3"/>
      <c r="N10" s="3"/>
      <c r="O10" s="3"/>
    </row>
    <row r="11" spans="1:15" ht="18" x14ac:dyDescent="0.2">
      <c r="A11" s="3"/>
      <c r="B11" s="279" t="s">
        <v>82</v>
      </c>
      <c r="C11" s="279"/>
      <c r="D11" s="279"/>
      <c r="E11" s="279"/>
      <c r="F11" s="3"/>
      <c r="G11" s="3"/>
      <c r="H11" s="3"/>
      <c r="I11" s="3"/>
      <c r="J11" s="3"/>
      <c r="K11" s="3"/>
      <c r="L11" s="3"/>
      <c r="M11" s="3"/>
      <c r="N11" s="3"/>
      <c r="O11" s="3"/>
    </row>
    <row r="12" spans="1:15" x14ac:dyDescent="0.2">
      <c r="A12" s="3"/>
      <c r="B12" s="69" t="s">
        <v>83</v>
      </c>
      <c r="C12" s="69" t="s">
        <v>84</v>
      </c>
      <c r="D12" s="69" t="s">
        <v>85</v>
      </c>
      <c r="E12" s="3"/>
      <c r="F12" s="3"/>
      <c r="G12" s="3"/>
      <c r="H12" s="3"/>
      <c r="I12" s="3"/>
      <c r="J12" s="3"/>
      <c r="K12" s="3"/>
      <c r="L12" s="3"/>
      <c r="M12" s="3"/>
      <c r="N12" s="3"/>
      <c r="O12" s="3"/>
    </row>
    <row r="13" spans="1:15" ht="28" x14ac:dyDescent="0.2">
      <c r="A13" s="3"/>
      <c r="B13" s="70" t="s">
        <v>86</v>
      </c>
      <c r="C13" s="71" t="s">
        <v>87</v>
      </c>
      <c r="D13" s="71" t="s">
        <v>88</v>
      </c>
      <c r="E13" s="3"/>
      <c r="F13" s="3"/>
      <c r="G13" s="3"/>
      <c r="H13" s="3"/>
      <c r="I13" s="3"/>
      <c r="J13" s="3"/>
      <c r="K13" s="3"/>
      <c r="L13" s="3"/>
      <c r="M13" s="3"/>
      <c r="N13" s="3"/>
      <c r="O13" s="3"/>
    </row>
    <row r="14" spans="1:15" x14ac:dyDescent="0.2">
      <c r="A14" s="3"/>
      <c r="B14" s="72" t="s">
        <v>89</v>
      </c>
      <c r="C14" s="68" t="s">
        <v>90</v>
      </c>
      <c r="D14" s="68" t="s">
        <v>91</v>
      </c>
      <c r="E14" s="3"/>
      <c r="F14" s="3"/>
      <c r="G14" s="3"/>
      <c r="H14" s="3"/>
      <c r="I14" s="3"/>
      <c r="J14" s="3"/>
      <c r="K14" s="3"/>
      <c r="L14" s="3"/>
      <c r="M14" s="3"/>
      <c r="N14" s="3"/>
      <c r="O14" s="3"/>
    </row>
    <row r="15" spans="1:15" x14ac:dyDescent="0.2">
      <c r="A15" s="3"/>
      <c r="B15" s="70" t="s">
        <v>92</v>
      </c>
      <c r="C15" s="71" t="s">
        <v>93</v>
      </c>
      <c r="D15" s="71" t="s">
        <v>94</v>
      </c>
      <c r="E15" s="3"/>
      <c r="F15" s="3"/>
      <c r="G15" s="3"/>
      <c r="H15" s="3"/>
      <c r="I15" s="3"/>
      <c r="J15" s="3"/>
      <c r="K15" s="3"/>
      <c r="L15" s="3"/>
      <c r="M15" s="3"/>
      <c r="N15" s="3"/>
      <c r="O15" s="3"/>
    </row>
    <row r="16" spans="1:15" ht="28" x14ac:dyDescent="0.2">
      <c r="A16" s="3"/>
      <c r="B16" s="72" t="s">
        <v>95</v>
      </c>
      <c r="C16" s="68" t="s">
        <v>96</v>
      </c>
      <c r="D16" s="68" t="s">
        <v>97</v>
      </c>
      <c r="E16" s="3"/>
      <c r="F16" s="3"/>
      <c r="G16" s="3"/>
      <c r="H16" s="3"/>
      <c r="I16" s="3"/>
      <c r="J16" s="3"/>
      <c r="K16" s="3"/>
      <c r="L16" s="3"/>
      <c r="M16" s="3"/>
      <c r="N16" s="3"/>
      <c r="O16" s="3"/>
    </row>
    <row r="17" spans="1:15" ht="28" x14ac:dyDescent="0.2">
      <c r="A17" s="3"/>
      <c r="B17" s="70" t="s">
        <v>98</v>
      </c>
      <c r="C17" s="71" t="s">
        <v>99</v>
      </c>
      <c r="D17" s="71" t="s">
        <v>100</v>
      </c>
      <c r="E17" s="3"/>
      <c r="F17" s="3"/>
      <c r="G17" s="3"/>
      <c r="H17" s="3"/>
      <c r="I17" s="3"/>
      <c r="J17" s="3"/>
      <c r="K17" s="3"/>
      <c r="L17" s="3"/>
      <c r="M17" s="3"/>
      <c r="N17" s="3"/>
      <c r="O17" s="3"/>
    </row>
    <row r="18" spans="1:15" x14ac:dyDescent="0.2">
      <c r="A18" s="3"/>
      <c r="B18" s="72" t="s">
        <v>101</v>
      </c>
      <c r="C18" s="68" t="s">
        <v>102</v>
      </c>
      <c r="D18" s="68" t="s">
        <v>103</v>
      </c>
      <c r="E18" s="3"/>
      <c r="F18" s="3"/>
      <c r="G18" s="3"/>
      <c r="H18" s="3"/>
      <c r="I18" s="3"/>
      <c r="J18" s="3"/>
      <c r="K18" s="3"/>
      <c r="L18" s="3"/>
      <c r="M18" s="3"/>
      <c r="N18" s="3"/>
      <c r="O18" s="3"/>
    </row>
    <row r="19" spans="1:15" x14ac:dyDescent="0.2">
      <c r="A19" s="3"/>
      <c r="B19" s="70" t="s">
        <v>104</v>
      </c>
      <c r="C19" s="71" t="s">
        <v>105</v>
      </c>
      <c r="D19" s="71" t="s">
        <v>106</v>
      </c>
      <c r="E19" s="3"/>
      <c r="F19" s="3"/>
      <c r="G19" s="3"/>
      <c r="H19" s="3"/>
      <c r="I19" s="3"/>
      <c r="J19" s="3"/>
      <c r="K19" s="3"/>
      <c r="L19" s="3"/>
      <c r="M19" s="3"/>
      <c r="N19" s="3"/>
      <c r="O19" s="3"/>
    </row>
    <row r="20" spans="1:15" x14ac:dyDescent="0.2">
      <c r="A20" s="3"/>
      <c r="B20" s="72" t="s">
        <v>107</v>
      </c>
      <c r="C20" s="68" t="s">
        <v>108</v>
      </c>
      <c r="D20" s="68" t="s">
        <v>109</v>
      </c>
      <c r="E20" s="3"/>
      <c r="F20" s="3"/>
      <c r="G20" s="3"/>
      <c r="H20" s="3"/>
      <c r="I20" s="3"/>
      <c r="J20" s="3"/>
      <c r="K20" s="3"/>
      <c r="L20" s="3"/>
      <c r="M20" s="3"/>
      <c r="N20" s="3"/>
      <c r="O20" s="3"/>
    </row>
    <row r="21" spans="1:15" x14ac:dyDescent="0.2">
      <c r="A21" s="3"/>
      <c r="B21" s="70" t="s">
        <v>110</v>
      </c>
      <c r="C21" s="71" t="s">
        <v>111</v>
      </c>
      <c r="D21" s="71" t="s">
        <v>112</v>
      </c>
      <c r="E21" s="3"/>
      <c r="F21" s="3"/>
      <c r="G21" s="3"/>
      <c r="H21" s="3"/>
      <c r="I21" s="3"/>
      <c r="J21" s="3"/>
      <c r="K21" s="3"/>
      <c r="L21" s="3"/>
      <c r="M21" s="3"/>
      <c r="N21" s="3"/>
      <c r="O21" s="3"/>
    </row>
    <row r="22" spans="1:15" x14ac:dyDescent="0.2">
      <c r="A22" s="3"/>
      <c r="B22" s="72" t="s">
        <v>113</v>
      </c>
      <c r="C22" s="68" t="s">
        <v>114</v>
      </c>
      <c r="D22" s="68" t="s">
        <v>115</v>
      </c>
      <c r="E22" s="3"/>
      <c r="F22" s="3"/>
      <c r="G22" s="3"/>
      <c r="H22" s="3"/>
      <c r="I22" s="3"/>
      <c r="J22" s="3"/>
      <c r="K22" s="3"/>
      <c r="L22" s="3"/>
      <c r="M22" s="3"/>
      <c r="N22" s="3"/>
      <c r="O22" s="3"/>
    </row>
    <row r="23" spans="1:15" ht="28" x14ac:dyDescent="0.2">
      <c r="A23" s="3"/>
      <c r="B23" s="70" t="s">
        <v>116</v>
      </c>
      <c r="C23" s="71" t="s">
        <v>117</v>
      </c>
      <c r="D23" s="71" t="s">
        <v>118</v>
      </c>
      <c r="E23" s="3"/>
      <c r="F23" s="3"/>
      <c r="G23" s="3"/>
      <c r="H23" s="3"/>
      <c r="I23" s="3"/>
      <c r="J23" s="3"/>
      <c r="K23" s="3"/>
      <c r="L23" s="3"/>
      <c r="M23" s="3"/>
      <c r="N23" s="3"/>
      <c r="O23" s="3"/>
    </row>
    <row r="24" spans="1:15" x14ac:dyDescent="0.2">
      <c r="A24" s="3"/>
      <c r="B24" s="72" t="s">
        <v>119</v>
      </c>
      <c r="C24" s="68" t="s">
        <v>120</v>
      </c>
      <c r="D24" s="68" t="s">
        <v>121</v>
      </c>
      <c r="E24" s="3"/>
      <c r="F24" s="3"/>
      <c r="G24" s="3"/>
      <c r="H24" s="3"/>
      <c r="I24" s="3"/>
      <c r="J24" s="3"/>
      <c r="K24" s="3"/>
      <c r="L24" s="3"/>
      <c r="M24" s="3"/>
      <c r="N24" s="3"/>
      <c r="O24" s="3"/>
    </row>
    <row r="25" spans="1:15" x14ac:dyDescent="0.2">
      <c r="A25" s="3"/>
      <c r="B25" s="70" t="s">
        <v>122</v>
      </c>
      <c r="C25" s="71" t="s">
        <v>123</v>
      </c>
      <c r="D25" s="71" t="s">
        <v>124</v>
      </c>
      <c r="E25" s="3"/>
      <c r="F25" s="3"/>
      <c r="G25" s="3"/>
      <c r="H25" s="3"/>
      <c r="I25" s="3"/>
      <c r="J25" s="3"/>
      <c r="K25" s="3"/>
      <c r="L25" s="3"/>
      <c r="M25" s="3"/>
      <c r="N25" s="3"/>
      <c r="O25" s="3"/>
    </row>
    <row r="26" spans="1:15" ht="28" x14ac:dyDescent="0.2">
      <c r="A26" s="3"/>
      <c r="B26" s="72" t="s">
        <v>4</v>
      </c>
      <c r="C26" s="68" t="s">
        <v>125</v>
      </c>
      <c r="D26" s="68" t="s">
        <v>126</v>
      </c>
      <c r="E26" s="3"/>
      <c r="F26" s="3"/>
      <c r="G26" s="3"/>
      <c r="H26" s="3"/>
      <c r="I26" s="3"/>
      <c r="J26" s="3"/>
      <c r="K26" s="3"/>
      <c r="L26" s="3"/>
      <c r="M26" s="3"/>
      <c r="N26" s="3"/>
      <c r="O26" s="3"/>
    </row>
    <row r="27" spans="1:15" x14ac:dyDescent="0.2">
      <c r="A27" s="3"/>
      <c r="B27" s="3"/>
      <c r="C27" s="3"/>
      <c r="D27" s="3"/>
      <c r="E27" s="3"/>
      <c r="F27" s="3"/>
      <c r="G27" s="3"/>
      <c r="H27" s="3"/>
      <c r="I27" s="3"/>
      <c r="J27" s="3"/>
      <c r="K27" s="3"/>
      <c r="L27" s="3"/>
      <c r="M27" s="3"/>
      <c r="N27" s="3"/>
      <c r="O27" s="3"/>
    </row>
    <row r="28" spans="1:15" ht="18" x14ac:dyDescent="0.2">
      <c r="A28" s="3"/>
      <c r="B28" s="279" t="s">
        <v>127</v>
      </c>
      <c r="C28" s="279"/>
      <c r="D28" s="279"/>
      <c r="E28" s="279"/>
      <c r="F28" s="3"/>
      <c r="G28" s="3"/>
      <c r="H28" s="3"/>
      <c r="I28" s="3"/>
      <c r="J28" s="3"/>
      <c r="K28" s="3"/>
      <c r="L28" s="3"/>
      <c r="M28" s="3"/>
      <c r="N28" s="3"/>
      <c r="O28" s="3"/>
    </row>
    <row r="29" spans="1:15" x14ac:dyDescent="0.2">
      <c r="A29" s="3"/>
      <c r="B29" s="73" t="s">
        <v>128</v>
      </c>
      <c r="C29" s="281" t="s">
        <v>129</v>
      </c>
      <c r="D29" s="281"/>
      <c r="E29" s="281"/>
      <c r="F29" s="3"/>
      <c r="G29" s="3"/>
      <c r="H29" s="3"/>
      <c r="I29" s="3"/>
      <c r="J29" s="3"/>
      <c r="K29" s="3"/>
      <c r="L29" s="3"/>
      <c r="M29" s="3"/>
      <c r="N29" s="3"/>
      <c r="O29" s="3"/>
    </row>
    <row r="30" spans="1:15" x14ac:dyDescent="0.2">
      <c r="A30" s="3"/>
      <c r="B30" s="74" t="s">
        <v>130</v>
      </c>
      <c r="C30" s="282" t="s">
        <v>131</v>
      </c>
      <c r="D30" s="282"/>
      <c r="E30" s="282"/>
      <c r="F30" s="3"/>
      <c r="G30" s="3"/>
      <c r="H30" s="3"/>
      <c r="I30" s="3"/>
      <c r="J30" s="3"/>
      <c r="K30" s="3"/>
      <c r="L30" s="3"/>
      <c r="M30" s="3"/>
      <c r="N30" s="3"/>
      <c r="O30" s="3"/>
    </row>
    <row r="31" spans="1:15" x14ac:dyDescent="0.2">
      <c r="A31" s="3"/>
      <c r="B31" s="73" t="s">
        <v>132</v>
      </c>
      <c r="C31" s="281" t="s">
        <v>133</v>
      </c>
      <c r="D31" s="281"/>
      <c r="E31" s="281"/>
      <c r="F31" s="3"/>
      <c r="G31" s="3"/>
      <c r="H31" s="3"/>
      <c r="I31" s="3"/>
      <c r="J31" s="3"/>
      <c r="K31" s="3"/>
      <c r="L31" s="3"/>
      <c r="M31" s="3"/>
      <c r="N31" s="3"/>
      <c r="O31" s="3"/>
    </row>
    <row r="32" spans="1:15" x14ac:dyDescent="0.2">
      <c r="A32" s="3"/>
      <c r="B32" s="74" t="s">
        <v>134</v>
      </c>
      <c r="C32" s="282" t="s">
        <v>135</v>
      </c>
      <c r="D32" s="282"/>
      <c r="E32" s="282"/>
      <c r="F32" s="3"/>
      <c r="G32" s="3"/>
      <c r="H32" s="3"/>
      <c r="I32" s="3"/>
      <c r="J32" s="3"/>
      <c r="K32" s="3"/>
      <c r="L32" s="3"/>
      <c r="M32" s="3"/>
      <c r="N32" s="3"/>
      <c r="O32" s="3"/>
    </row>
    <row r="33" spans="1:15" x14ac:dyDescent="0.2">
      <c r="A33" s="3"/>
      <c r="B33" s="73" t="s">
        <v>136</v>
      </c>
      <c r="C33" s="281" t="s">
        <v>137</v>
      </c>
      <c r="D33" s="281"/>
      <c r="E33" s="281"/>
      <c r="F33" s="3"/>
      <c r="G33" s="3"/>
      <c r="H33" s="3"/>
      <c r="I33" s="3"/>
      <c r="J33" s="3"/>
      <c r="K33" s="3"/>
      <c r="L33" s="3"/>
      <c r="M33" s="3"/>
      <c r="N33" s="3"/>
      <c r="O33" s="3"/>
    </row>
    <row r="34" spans="1:15" x14ac:dyDescent="0.2">
      <c r="A34" s="3"/>
      <c r="B34" s="74" t="s">
        <v>138</v>
      </c>
      <c r="C34" s="282" t="s">
        <v>139</v>
      </c>
      <c r="D34" s="282"/>
      <c r="E34" s="282"/>
      <c r="F34" s="3"/>
      <c r="G34" s="3"/>
      <c r="H34" s="3"/>
      <c r="I34" s="3"/>
      <c r="J34" s="3"/>
      <c r="K34" s="3"/>
      <c r="L34" s="3"/>
      <c r="M34" s="3"/>
      <c r="N34" s="3"/>
      <c r="O34" s="3"/>
    </row>
    <row r="35" spans="1:15" x14ac:dyDescent="0.2">
      <c r="A35" s="3"/>
      <c r="B35" s="3"/>
      <c r="C35" s="3"/>
      <c r="D35" s="3"/>
      <c r="E35" s="3"/>
      <c r="F35" s="3"/>
      <c r="G35" s="3"/>
      <c r="H35" s="3"/>
      <c r="I35" s="3"/>
      <c r="J35" s="3"/>
      <c r="K35" s="3"/>
      <c r="L35" s="3"/>
      <c r="M35" s="3"/>
      <c r="N35" s="3"/>
      <c r="O35" s="3"/>
    </row>
    <row r="36" spans="1:15" ht="18" x14ac:dyDescent="0.2">
      <c r="A36" s="3"/>
      <c r="B36" s="279" t="s">
        <v>140</v>
      </c>
      <c r="C36" s="279"/>
      <c r="D36" s="279"/>
      <c r="E36" s="279"/>
      <c r="F36" s="3"/>
      <c r="G36" s="3"/>
      <c r="H36" s="3"/>
      <c r="I36" s="3"/>
      <c r="J36" s="3"/>
      <c r="K36" s="3"/>
      <c r="L36" s="3"/>
      <c r="M36" s="3"/>
      <c r="N36" s="3"/>
      <c r="O36" s="3"/>
    </row>
    <row r="37" spans="1:15" x14ac:dyDescent="0.2">
      <c r="A37" s="3"/>
      <c r="B37" s="69" t="s">
        <v>141</v>
      </c>
      <c r="C37" s="69" t="s">
        <v>142</v>
      </c>
      <c r="D37" s="69" t="s">
        <v>143</v>
      </c>
      <c r="E37" s="3"/>
      <c r="F37" s="3"/>
      <c r="G37" s="3"/>
      <c r="H37" s="3"/>
      <c r="I37" s="3"/>
      <c r="J37" s="3"/>
      <c r="K37" s="3"/>
      <c r="L37" s="3"/>
      <c r="M37" s="3"/>
      <c r="N37" s="3"/>
      <c r="O37" s="3"/>
    </row>
    <row r="38" spans="1:15" x14ac:dyDescent="0.2">
      <c r="A38" s="3"/>
      <c r="B38" s="75" t="s">
        <v>144</v>
      </c>
      <c r="C38" s="76" t="s">
        <v>145</v>
      </c>
      <c r="D38" s="76" t="s">
        <v>146</v>
      </c>
      <c r="E38" s="3"/>
      <c r="F38" s="3"/>
      <c r="G38" s="3"/>
      <c r="H38" s="3"/>
      <c r="I38" s="3"/>
      <c r="J38" s="3"/>
      <c r="K38" s="3"/>
      <c r="L38" s="3"/>
      <c r="M38" s="3"/>
      <c r="N38" s="3"/>
      <c r="O38" s="3"/>
    </row>
    <row r="39" spans="1:15" ht="28" x14ac:dyDescent="0.2">
      <c r="A39" s="3"/>
      <c r="B39" s="72" t="s">
        <v>147</v>
      </c>
      <c r="C39" s="68" t="s">
        <v>148</v>
      </c>
      <c r="D39" s="68" t="s">
        <v>149</v>
      </c>
      <c r="E39" s="3"/>
      <c r="F39" s="3"/>
      <c r="G39" s="3"/>
      <c r="H39" s="3"/>
      <c r="I39" s="3"/>
      <c r="J39" s="3"/>
      <c r="K39" s="3"/>
      <c r="L39" s="3"/>
      <c r="M39" s="3"/>
      <c r="N39" s="3"/>
      <c r="O39" s="3"/>
    </row>
    <row r="40" spans="1:15" x14ac:dyDescent="0.2">
      <c r="A40" s="3"/>
      <c r="B40" s="75" t="s">
        <v>150</v>
      </c>
      <c r="C40" s="76" t="s">
        <v>151</v>
      </c>
      <c r="D40" s="76" t="s">
        <v>152</v>
      </c>
      <c r="E40" s="3"/>
      <c r="F40" s="3"/>
      <c r="G40" s="3"/>
      <c r="H40" s="3"/>
      <c r="I40" s="3"/>
      <c r="J40" s="3"/>
      <c r="K40" s="3"/>
      <c r="L40" s="3"/>
      <c r="M40" s="3"/>
      <c r="N40" s="3"/>
      <c r="O40" s="3"/>
    </row>
    <row r="41" spans="1:15" x14ac:dyDescent="0.2">
      <c r="A41" s="3"/>
      <c r="B41" s="72" t="s">
        <v>153</v>
      </c>
      <c r="C41" s="68" t="s">
        <v>154</v>
      </c>
      <c r="D41" s="68" t="s">
        <v>155</v>
      </c>
      <c r="E41" s="3"/>
      <c r="F41" s="3"/>
      <c r="G41" s="3"/>
      <c r="H41" s="3"/>
      <c r="I41" s="3"/>
      <c r="J41" s="3"/>
      <c r="K41" s="3"/>
      <c r="L41" s="3"/>
      <c r="M41" s="3"/>
      <c r="N41" s="3"/>
      <c r="O41" s="3"/>
    </row>
    <row r="42" spans="1:15" x14ac:dyDescent="0.2">
      <c r="A42" s="3"/>
      <c r="B42" s="75" t="s">
        <v>156</v>
      </c>
      <c r="C42" s="76" t="s">
        <v>157</v>
      </c>
      <c r="D42" s="76" t="s">
        <v>158</v>
      </c>
      <c r="E42" s="3"/>
      <c r="F42" s="3"/>
      <c r="G42" s="3"/>
      <c r="H42" s="3"/>
      <c r="I42" s="3"/>
      <c r="J42" s="3"/>
      <c r="K42" s="3"/>
      <c r="L42" s="3"/>
      <c r="M42" s="3"/>
      <c r="N42" s="3"/>
      <c r="O42" s="3"/>
    </row>
    <row r="43" spans="1:15" x14ac:dyDescent="0.2">
      <c r="A43" s="3"/>
      <c r="B43" s="72" t="s">
        <v>159</v>
      </c>
      <c r="C43" s="68" t="s">
        <v>160</v>
      </c>
      <c r="D43" s="68" t="s">
        <v>161</v>
      </c>
      <c r="E43" s="3"/>
      <c r="F43" s="3"/>
      <c r="G43" s="3"/>
      <c r="H43" s="3"/>
      <c r="I43" s="3"/>
      <c r="J43" s="3"/>
      <c r="K43" s="3"/>
      <c r="L43" s="3"/>
      <c r="M43" s="3"/>
      <c r="N43" s="3"/>
      <c r="O43" s="3"/>
    </row>
    <row r="44" spans="1:15" x14ac:dyDescent="0.2">
      <c r="A44" s="3"/>
      <c r="B44" s="75" t="s">
        <v>113</v>
      </c>
      <c r="C44" s="76" t="s">
        <v>162</v>
      </c>
      <c r="D44" s="76" t="s">
        <v>163</v>
      </c>
      <c r="E44" s="3"/>
      <c r="F44" s="3"/>
      <c r="G44" s="3"/>
      <c r="H44" s="3"/>
      <c r="I44" s="3"/>
      <c r="J44" s="3"/>
      <c r="K44" s="3"/>
      <c r="L44" s="3"/>
      <c r="M44" s="3"/>
      <c r="N44" s="3"/>
      <c r="O44" s="3"/>
    </row>
    <row r="45" spans="1:15" x14ac:dyDescent="0.2">
      <c r="A45" s="3"/>
      <c r="B45" s="72" t="s">
        <v>164</v>
      </c>
      <c r="C45" s="68" t="s">
        <v>165</v>
      </c>
      <c r="D45" s="68" t="s">
        <v>166</v>
      </c>
      <c r="E45" s="3"/>
      <c r="F45" s="3"/>
      <c r="G45" s="3"/>
      <c r="H45" s="3"/>
      <c r="I45" s="3"/>
      <c r="J45" s="3"/>
      <c r="K45" s="3"/>
      <c r="L45" s="3"/>
      <c r="M45" s="3"/>
      <c r="N45" s="3"/>
      <c r="O45" s="3"/>
    </row>
    <row r="46" spans="1:15" x14ac:dyDescent="0.2">
      <c r="A46" s="3"/>
      <c r="B46" s="3"/>
      <c r="C46" s="3"/>
      <c r="D46" s="3"/>
      <c r="E46" s="3"/>
      <c r="F46" s="3"/>
      <c r="G46" s="3"/>
      <c r="H46" s="3"/>
      <c r="I46" s="3"/>
      <c r="J46" s="3"/>
      <c r="K46" s="3"/>
      <c r="L46" s="3"/>
      <c r="M46" s="3"/>
      <c r="N46" s="3"/>
      <c r="O46" s="3"/>
    </row>
    <row r="47" spans="1:15" ht="18" x14ac:dyDescent="0.2">
      <c r="A47" s="3"/>
      <c r="B47" s="279" t="s">
        <v>167</v>
      </c>
      <c r="C47" s="279"/>
      <c r="D47" s="279"/>
      <c r="E47" s="279"/>
      <c r="F47" s="3"/>
      <c r="G47" s="3"/>
      <c r="H47" s="3"/>
      <c r="I47" s="3"/>
      <c r="J47" s="3"/>
      <c r="K47" s="3"/>
      <c r="L47" s="3"/>
      <c r="M47" s="3"/>
      <c r="N47" s="3"/>
      <c r="O47" s="3"/>
    </row>
    <row r="48" spans="1:15" ht="16" x14ac:dyDescent="0.2">
      <c r="A48" s="3"/>
      <c r="B48" s="77" t="s">
        <v>168</v>
      </c>
      <c r="C48" s="77" t="s">
        <v>169</v>
      </c>
      <c r="D48" s="77" t="s">
        <v>170</v>
      </c>
      <c r="E48" s="77" t="s">
        <v>171</v>
      </c>
      <c r="F48" s="3"/>
      <c r="G48" s="3"/>
      <c r="H48" s="3"/>
      <c r="I48" s="3"/>
      <c r="J48" s="3"/>
      <c r="K48" s="3"/>
      <c r="L48" s="3"/>
      <c r="M48" s="3"/>
      <c r="N48" s="3"/>
      <c r="O48" s="3"/>
    </row>
    <row r="49" spans="1:15" ht="16" x14ac:dyDescent="0.2">
      <c r="A49" s="3"/>
      <c r="B49" s="77" t="s">
        <v>172</v>
      </c>
      <c r="C49" s="77" t="s">
        <v>173</v>
      </c>
      <c r="D49" s="77" t="s">
        <v>174</v>
      </c>
      <c r="E49" s="77" t="s">
        <v>175</v>
      </c>
      <c r="F49" s="3"/>
      <c r="G49" s="3"/>
      <c r="H49" s="3"/>
      <c r="I49" s="3"/>
      <c r="J49" s="3"/>
      <c r="K49" s="3"/>
      <c r="L49" s="3"/>
      <c r="M49" s="3"/>
      <c r="N49" s="3"/>
      <c r="O49" s="3"/>
    </row>
    <row r="50" spans="1:15" x14ac:dyDescent="0.2">
      <c r="A50" s="3"/>
      <c r="B50" s="3"/>
      <c r="C50" s="3"/>
      <c r="D50" s="3"/>
      <c r="E50" s="3"/>
      <c r="F50" s="3"/>
      <c r="G50" s="3"/>
      <c r="H50" s="3"/>
      <c r="I50" s="3"/>
      <c r="J50" s="3"/>
      <c r="K50" s="3"/>
      <c r="L50" s="3"/>
      <c r="M50" s="3"/>
      <c r="N50" s="3"/>
      <c r="O50" s="3"/>
    </row>
    <row r="51" spans="1:15" ht="18" x14ac:dyDescent="0.2">
      <c r="A51" s="3"/>
      <c r="B51" s="279" t="s">
        <v>176</v>
      </c>
      <c r="C51" s="279"/>
      <c r="D51" s="279"/>
      <c r="E51" s="279"/>
      <c r="F51" s="3"/>
      <c r="G51" s="3"/>
      <c r="H51" s="3"/>
      <c r="I51" s="3"/>
      <c r="J51" s="3"/>
      <c r="K51" s="3"/>
      <c r="L51" s="3"/>
      <c r="M51" s="3"/>
      <c r="N51" s="3"/>
      <c r="O51" s="3"/>
    </row>
    <row r="52" spans="1:15" x14ac:dyDescent="0.2">
      <c r="A52" s="3"/>
      <c r="B52" s="78" t="s">
        <v>70</v>
      </c>
      <c r="C52" s="3"/>
      <c r="D52" s="3"/>
      <c r="E52" s="3"/>
      <c r="F52" s="3"/>
      <c r="G52" s="3"/>
      <c r="H52" s="3"/>
      <c r="I52" s="3"/>
      <c r="J52" s="3"/>
      <c r="K52" s="3"/>
      <c r="L52" s="3"/>
      <c r="M52" s="3"/>
      <c r="N52" s="3"/>
      <c r="O52" s="3"/>
    </row>
    <row r="53" spans="1:15" x14ac:dyDescent="0.2">
      <c r="A53" s="3"/>
      <c r="B53" s="78" t="s">
        <v>177</v>
      </c>
      <c r="C53" s="3"/>
      <c r="D53" s="3"/>
      <c r="E53" s="3"/>
      <c r="F53" s="3"/>
      <c r="G53" s="3"/>
      <c r="H53" s="3"/>
      <c r="I53" s="3"/>
      <c r="J53" s="3"/>
      <c r="K53" s="3"/>
      <c r="L53" s="3"/>
      <c r="M53" s="3"/>
      <c r="N53" s="3"/>
      <c r="O53" s="3"/>
    </row>
    <row r="54" spans="1:15" x14ac:dyDescent="0.2">
      <c r="A54" s="3"/>
      <c r="B54" s="78" t="s">
        <v>62</v>
      </c>
      <c r="C54" s="3"/>
      <c r="D54" s="3"/>
      <c r="E54" s="3"/>
      <c r="F54" s="3"/>
      <c r="G54" s="3"/>
      <c r="H54" s="3"/>
      <c r="I54" s="3"/>
      <c r="J54" s="3"/>
      <c r="K54" s="3"/>
      <c r="L54" s="3"/>
      <c r="M54" s="3"/>
      <c r="N54" s="3"/>
      <c r="O54" s="3"/>
    </row>
    <row r="55" spans="1:15" x14ac:dyDescent="0.2">
      <c r="A55" s="3"/>
      <c r="B55" s="78" t="s">
        <v>60</v>
      </c>
      <c r="C55" s="3"/>
      <c r="D55" s="3"/>
      <c r="E55" s="3"/>
      <c r="F55" s="3"/>
      <c r="G55" s="3"/>
      <c r="H55" s="3"/>
      <c r="I55" s="3"/>
      <c r="J55" s="3"/>
      <c r="K55" s="3"/>
      <c r="L55" s="3"/>
      <c r="M55" s="3"/>
      <c r="N55" s="3"/>
      <c r="O55" s="3"/>
    </row>
    <row r="56" spans="1:15" x14ac:dyDescent="0.2">
      <c r="A56" s="3"/>
      <c r="B56" s="78" t="s">
        <v>178</v>
      </c>
      <c r="C56" s="3"/>
      <c r="D56" s="3"/>
      <c r="E56" s="3"/>
      <c r="F56" s="3"/>
      <c r="G56" s="3"/>
      <c r="H56" s="3"/>
      <c r="I56" s="3"/>
      <c r="J56" s="3"/>
      <c r="K56" s="3"/>
      <c r="L56" s="3"/>
      <c r="M56" s="3"/>
      <c r="N56" s="3"/>
      <c r="O56" s="3"/>
    </row>
    <row r="57" spans="1:15" x14ac:dyDescent="0.2">
      <c r="A57" s="3"/>
      <c r="B57" s="78" t="s">
        <v>179</v>
      </c>
      <c r="C57" s="3"/>
      <c r="D57" s="3"/>
      <c r="E57" s="3"/>
      <c r="F57" s="3"/>
      <c r="G57" s="3"/>
      <c r="H57" s="3"/>
      <c r="I57" s="3"/>
      <c r="J57" s="3"/>
      <c r="K57" s="3"/>
      <c r="L57" s="3"/>
      <c r="M57" s="3"/>
      <c r="N57" s="3"/>
      <c r="O57" s="3"/>
    </row>
    <row r="58" spans="1:15" x14ac:dyDescent="0.2">
      <c r="A58" s="3"/>
      <c r="B58" s="3"/>
      <c r="C58" s="3"/>
      <c r="D58" s="3"/>
      <c r="E58" s="3"/>
      <c r="F58" s="3"/>
      <c r="G58" s="3"/>
      <c r="H58" s="3"/>
      <c r="I58" s="3"/>
      <c r="J58" s="3"/>
      <c r="K58" s="3"/>
      <c r="L58" s="3"/>
      <c r="M58" s="3"/>
      <c r="N58" s="3"/>
      <c r="O58" s="3"/>
    </row>
    <row r="59" spans="1:15" ht="18" x14ac:dyDescent="0.2">
      <c r="A59" s="3"/>
      <c r="B59" s="279" t="s">
        <v>180</v>
      </c>
      <c r="C59" s="279"/>
      <c r="D59" s="279"/>
      <c r="E59" s="279"/>
      <c r="F59" s="3"/>
      <c r="G59" s="3"/>
      <c r="H59" s="3"/>
      <c r="I59" s="3"/>
      <c r="J59" s="3"/>
      <c r="K59" s="3"/>
      <c r="L59" s="3"/>
      <c r="M59" s="3"/>
      <c r="N59" s="3"/>
      <c r="O59" s="3"/>
    </row>
    <row r="60" spans="1:15" x14ac:dyDescent="0.2">
      <c r="A60" s="3"/>
      <c r="B60" s="284" t="s">
        <v>181</v>
      </c>
      <c r="C60" s="284"/>
      <c r="D60" s="284"/>
      <c r="E60" s="284"/>
      <c r="F60" s="3"/>
      <c r="G60" s="3"/>
      <c r="H60" s="3"/>
      <c r="I60" s="3"/>
      <c r="J60" s="3"/>
      <c r="K60" s="3"/>
      <c r="L60" s="3"/>
      <c r="M60" s="3"/>
      <c r="N60" s="3"/>
      <c r="O60" s="3"/>
    </row>
    <row r="61" spans="1:15" x14ac:dyDescent="0.2">
      <c r="A61" s="3"/>
      <c r="B61" s="283" t="s">
        <v>182</v>
      </c>
      <c r="C61" s="283"/>
      <c r="D61" s="283"/>
      <c r="E61" s="283"/>
      <c r="F61" s="3"/>
      <c r="G61" s="3"/>
      <c r="H61" s="3"/>
      <c r="I61" s="3"/>
      <c r="J61" s="3"/>
      <c r="K61" s="3"/>
      <c r="L61" s="3"/>
      <c r="M61" s="3"/>
      <c r="N61" s="3"/>
      <c r="O61" s="3"/>
    </row>
    <row r="62" spans="1:15" x14ac:dyDescent="0.2">
      <c r="A62" s="3"/>
      <c r="B62" s="284" t="s">
        <v>183</v>
      </c>
      <c r="C62" s="284"/>
      <c r="D62" s="284"/>
      <c r="E62" s="284"/>
      <c r="F62" s="3"/>
      <c r="G62" s="3"/>
      <c r="H62" s="3"/>
      <c r="I62" s="3"/>
      <c r="J62" s="3"/>
      <c r="K62" s="3"/>
      <c r="L62" s="3"/>
      <c r="M62" s="3"/>
      <c r="N62" s="3"/>
      <c r="O62" s="3"/>
    </row>
    <row r="63" spans="1:15" x14ac:dyDescent="0.2">
      <c r="A63" s="3"/>
      <c r="B63" s="283" t="s">
        <v>184</v>
      </c>
      <c r="C63" s="283"/>
      <c r="D63" s="283"/>
      <c r="E63" s="283"/>
      <c r="F63" s="3"/>
      <c r="G63" s="3"/>
      <c r="H63" s="3"/>
      <c r="I63" s="3"/>
      <c r="J63" s="3"/>
      <c r="K63" s="3"/>
      <c r="L63" s="3"/>
      <c r="M63" s="3"/>
      <c r="N63" s="3"/>
      <c r="O63" s="3"/>
    </row>
    <row r="64" spans="1:15" x14ac:dyDescent="0.2">
      <c r="A64" s="3"/>
      <c r="B64" s="284" t="s">
        <v>185</v>
      </c>
      <c r="C64" s="284"/>
      <c r="D64" s="284"/>
      <c r="E64" s="284"/>
      <c r="F64" s="3"/>
      <c r="G64" s="3"/>
      <c r="H64" s="3"/>
      <c r="I64" s="3"/>
      <c r="J64" s="3"/>
      <c r="K64" s="3"/>
      <c r="L64" s="3"/>
      <c r="M64" s="3"/>
      <c r="N64" s="3"/>
      <c r="O64" s="3"/>
    </row>
    <row r="65" spans="1:15" x14ac:dyDescent="0.2">
      <c r="A65" s="3"/>
      <c r="B65" s="283" t="s">
        <v>186</v>
      </c>
      <c r="C65" s="283"/>
      <c r="D65" s="283"/>
      <c r="E65" s="283"/>
      <c r="F65" s="3"/>
      <c r="G65" s="3"/>
      <c r="H65" s="3"/>
      <c r="I65" s="3"/>
      <c r="J65" s="3"/>
      <c r="K65" s="3"/>
      <c r="L65" s="3"/>
      <c r="M65" s="3"/>
      <c r="N65" s="3"/>
      <c r="O65" s="3"/>
    </row>
  </sheetData>
  <mergeCells count="23">
    <mergeCell ref="B63:E63"/>
    <mergeCell ref="B64:E64"/>
    <mergeCell ref="B65:E65"/>
    <mergeCell ref="B51:E51"/>
    <mergeCell ref="B59:E59"/>
    <mergeCell ref="B60:E60"/>
    <mergeCell ref="B61:E61"/>
    <mergeCell ref="B62:E62"/>
    <mergeCell ref="C32:E32"/>
    <mergeCell ref="C33:E33"/>
    <mergeCell ref="C34:E34"/>
    <mergeCell ref="B36:E36"/>
    <mergeCell ref="B47:E47"/>
    <mergeCell ref="B11:E11"/>
    <mergeCell ref="B28:E28"/>
    <mergeCell ref="C29:E29"/>
    <mergeCell ref="C30:E30"/>
    <mergeCell ref="C31:E31"/>
    <mergeCell ref="B1:E1"/>
    <mergeCell ref="B2:E2"/>
    <mergeCell ref="B4:E4"/>
    <mergeCell ref="B5:E5"/>
    <mergeCell ref="B7:E7"/>
  </mergeCells>
  <hyperlinks>
    <hyperlink ref="O2" r:id="rId1" location="Dashboard!A1" xr:uid="{00000000-0004-0000-0100-000000000000}"/>
    <hyperlink ref="B52" r:id="rId2" location="'Dashboard'!A1" xr:uid="{00000000-0004-0000-0100-000001000000}"/>
    <hyperlink ref="B53" r:id="rId3" location="'User%20Stories'!A1" xr:uid="{00000000-0004-0000-0100-000002000000}"/>
    <hyperlink ref="B54" r:id="rId4" location="'Sprint%20Tracker'!A1" xr:uid="{00000000-0004-0000-0100-000003000000}"/>
    <hyperlink ref="B55" r:id="rId5" location="'Features%20&amp;%20US'!A1" xr:uid="{00000000-0004-0000-0100-000004000000}"/>
    <hyperlink ref="B56" r:id="rId6" location="'ROAM'!A1" xr:uid="{00000000-0004-0000-0100-000005000000}"/>
    <hyperlink ref="B57" r:id="rId7" location="'Implemented%20Backlog'!A1" xr:uid="{00000000-0004-0000-0100-000006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5"/>
  <sheetViews>
    <sheetView zoomScaleNormal="100" workbookViewId="0">
      <pane ySplit="2" topLeftCell="A3" activePane="bottomLeft" state="frozen"/>
      <selection pane="bottomLeft" activeCell="A5" sqref="A5"/>
    </sheetView>
  </sheetViews>
  <sheetFormatPr baseColWidth="10" defaultColWidth="8.6640625" defaultRowHeight="15" customHeight="1" x14ac:dyDescent="0.2"/>
  <cols>
    <col min="1" max="1" width="30" customWidth="1"/>
    <col min="2" max="2" width="75" customWidth="1"/>
  </cols>
  <sheetData>
    <row r="1" spans="1:15" ht="15" customHeight="1" x14ac:dyDescent="0.2">
      <c r="A1" s="285" t="s">
        <v>187</v>
      </c>
      <c r="B1" s="285"/>
      <c r="C1" s="3"/>
      <c r="D1" s="3"/>
      <c r="E1" s="3"/>
      <c r="F1" s="3"/>
      <c r="G1" s="3"/>
      <c r="H1" s="3"/>
      <c r="I1" s="3"/>
      <c r="J1" s="3"/>
      <c r="K1" s="3"/>
      <c r="L1" s="3"/>
      <c r="M1" s="3"/>
      <c r="N1" s="3"/>
      <c r="O1" s="3"/>
    </row>
    <row r="2" spans="1:15" ht="15" customHeight="1" x14ac:dyDescent="0.2">
      <c r="A2" s="79" t="s">
        <v>188</v>
      </c>
      <c r="B2" s="79" t="s">
        <v>189</v>
      </c>
      <c r="C2" s="3"/>
      <c r="D2" s="3"/>
      <c r="E2" s="3"/>
      <c r="F2" s="3"/>
      <c r="G2" s="3"/>
      <c r="H2" s="3"/>
      <c r="I2" s="3"/>
      <c r="J2" s="3"/>
      <c r="K2" s="3"/>
      <c r="L2" s="3"/>
      <c r="M2" s="3"/>
      <c r="N2" s="3"/>
      <c r="O2" s="66" t="s">
        <v>70</v>
      </c>
    </row>
    <row r="3" spans="1:15" ht="15" customHeight="1" x14ac:dyDescent="0.2">
      <c r="A3" s="80" t="s">
        <v>190</v>
      </c>
      <c r="B3" s="80" t="s">
        <v>191</v>
      </c>
      <c r="C3" s="3"/>
      <c r="D3" s="3"/>
      <c r="E3" s="3"/>
      <c r="F3" s="3"/>
      <c r="G3" s="3"/>
      <c r="H3" s="3"/>
      <c r="I3" s="3"/>
      <c r="J3" s="3"/>
      <c r="K3" s="3"/>
      <c r="L3" s="3"/>
      <c r="M3" s="3"/>
      <c r="N3" s="3"/>
      <c r="O3" s="3"/>
    </row>
    <row r="4" spans="1:15" ht="15" customHeight="1" x14ac:dyDescent="0.2">
      <c r="A4" s="80" t="s">
        <v>192</v>
      </c>
      <c r="B4" s="80" t="s">
        <v>193</v>
      </c>
      <c r="C4" s="3"/>
      <c r="D4" s="3"/>
      <c r="E4" s="3"/>
      <c r="F4" s="3"/>
      <c r="G4" s="3"/>
      <c r="H4" s="3"/>
      <c r="I4" s="3"/>
      <c r="J4" s="3"/>
      <c r="K4" s="3"/>
      <c r="L4" s="3"/>
      <c r="M4" s="3"/>
      <c r="N4" s="3"/>
      <c r="O4" s="3"/>
    </row>
    <row r="5" spans="1:15" ht="15" customHeight="1" x14ac:dyDescent="0.2">
      <c r="A5" s="80" t="s">
        <v>194</v>
      </c>
      <c r="B5" s="80" t="s">
        <v>195</v>
      </c>
      <c r="C5" s="3"/>
      <c r="D5" s="3"/>
      <c r="E5" s="3"/>
      <c r="F5" s="3"/>
      <c r="G5" s="3"/>
      <c r="H5" s="3"/>
      <c r="I5" s="3"/>
      <c r="J5" s="3"/>
      <c r="K5" s="3"/>
      <c r="L5" s="3"/>
      <c r="M5" s="3"/>
      <c r="N5" s="3"/>
      <c r="O5" s="3"/>
    </row>
    <row r="6" spans="1:15" ht="15" customHeight="1" x14ac:dyDescent="0.2">
      <c r="A6" s="80" t="s">
        <v>196</v>
      </c>
      <c r="B6" s="80" t="s">
        <v>197</v>
      </c>
      <c r="C6" s="3"/>
      <c r="D6" s="3"/>
      <c r="E6" s="3"/>
      <c r="F6" s="3"/>
      <c r="G6" s="3"/>
      <c r="H6" s="3"/>
      <c r="I6" s="3"/>
      <c r="J6" s="3"/>
      <c r="K6" s="3"/>
      <c r="L6" s="3"/>
      <c r="M6" s="3"/>
      <c r="N6" s="3"/>
      <c r="O6" s="3"/>
    </row>
    <row r="7" spans="1:15" ht="15" customHeight="1" x14ac:dyDescent="0.2">
      <c r="A7" s="80" t="s">
        <v>45</v>
      </c>
      <c r="B7" s="80" t="s">
        <v>198</v>
      </c>
      <c r="C7" s="3"/>
      <c r="D7" s="3"/>
      <c r="E7" s="3"/>
      <c r="F7" s="3"/>
      <c r="G7" s="3"/>
      <c r="H7" s="3"/>
      <c r="I7" s="3"/>
      <c r="J7" s="3"/>
      <c r="K7" s="3"/>
      <c r="L7" s="3"/>
      <c r="M7" s="3"/>
      <c r="N7" s="3"/>
      <c r="O7" s="3"/>
    </row>
    <row r="8" spans="1:15" ht="15" customHeight="1" x14ac:dyDescent="0.2">
      <c r="A8" s="80" t="s">
        <v>74</v>
      </c>
      <c r="B8" s="80" t="s">
        <v>199</v>
      </c>
      <c r="C8" s="3"/>
      <c r="D8" s="3"/>
      <c r="E8" s="3"/>
      <c r="F8" s="3"/>
      <c r="G8" s="3"/>
      <c r="H8" s="3"/>
      <c r="I8" s="3"/>
      <c r="J8" s="3"/>
      <c r="K8" s="3"/>
      <c r="L8" s="3"/>
      <c r="M8" s="3"/>
      <c r="N8" s="3"/>
      <c r="O8" s="3"/>
    </row>
    <row r="9" spans="1:15" ht="15" customHeight="1" x14ac:dyDescent="0.2">
      <c r="A9" s="80" t="s">
        <v>200</v>
      </c>
      <c r="B9" s="80" t="s">
        <v>201</v>
      </c>
      <c r="C9" s="3"/>
      <c r="D9" s="3"/>
      <c r="E9" s="3"/>
      <c r="F9" s="3"/>
      <c r="G9" s="3"/>
      <c r="H9" s="3"/>
      <c r="I9" s="3"/>
      <c r="J9" s="3"/>
      <c r="K9" s="3"/>
      <c r="L9" s="3"/>
      <c r="M9" s="3"/>
      <c r="N9" s="3"/>
      <c r="O9" s="3"/>
    </row>
    <row r="10" spans="1:15" ht="15" customHeight="1" x14ac:dyDescent="0.2">
      <c r="A10" s="80" t="s">
        <v>202</v>
      </c>
      <c r="B10" s="80" t="s">
        <v>203</v>
      </c>
      <c r="C10" s="3"/>
      <c r="D10" s="3"/>
      <c r="E10" s="3"/>
      <c r="F10" s="3"/>
      <c r="G10" s="3"/>
      <c r="H10" s="3"/>
      <c r="I10" s="3"/>
      <c r="J10" s="3"/>
      <c r="K10" s="3"/>
      <c r="L10" s="3"/>
      <c r="M10" s="3"/>
      <c r="N10" s="3"/>
      <c r="O10" s="3"/>
    </row>
    <row r="11" spans="1:15" ht="15" customHeight="1" x14ac:dyDescent="0.2">
      <c r="A11" s="80" t="s">
        <v>204</v>
      </c>
      <c r="B11" s="80" t="s">
        <v>205</v>
      </c>
      <c r="C11" s="3"/>
      <c r="D11" s="3"/>
      <c r="E11" s="3"/>
      <c r="F11" s="3"/>
      <c r="G11" s="3"/>
      <c r="H11" s="3"/>
      <c r="I11" s="3"/>
      <c r="J11" s="3"/>
      <c r="K11" s="3"/>
      <c r="L11" s="3"/>
      <c r="M11" s="3"/>
      <c r="N11" s="3"/>
      <c r="O11" s="3"/>
    </row>
    <row r="12" spans="1:15" ht="15" customHeight="1" x14ac:dyDescent="0.2">
      <c r="A12" s="80" t="s">
        <v>206</v>
      </c>
      <c r="B12" s="80" t="s">
        <v>207</v>
      </c>
      <c r="C12" s="3"/>
      <c r="D12" s="3"/>
      <c r="E12" s="3"/>
      <c r="F12" s="3"/>
      <c r="G12" s="3"/>
      <c r="H12" s="3"/>
      <c r="I12" s="3"/>
      <c r="J12" s="3"/>
      <c r="K12" s="3"/>
      <c r="L12" s="3"/>
      <c r="M12" s="3"/>
      <c r="N12" s="3"/>
      <c r="O12" s="3"/>
    </row>
    <row r="13" spans="1:15" ht="15" customHeight="1" x14ac:dyDescent="0.2">
      <c r="A13" s="80" t="s">
        <v>208</v>
      </c>
      <c r="B13" s="80" t="s">
        <v>209</v>
      </c>
      <c r="C13" s="3"/>
      <c r="D13" s="3"/>
      <c r="E13" s="3"/>
      <c r="F13" s="3"/>
      <c r="G13" s="3"/>
      <c r="H13" s="3"/>
      <c r="I13" s="3"/>
      <c r="J13" s="3"/>
      <c r="K13" s="3"/>
      <c r="L13" s="3"/>
      <c r="M13" s="3"/>
      <c r="N13" s="3"/>
      <c r="O13" s="3"/>
    </row>
    <row r="14" spans="1:15" ht="15" customHeight="1" x14ac:dyDescent="0.2">
      <c r="A14" s="80" t="s">
        <v>19</v>
      </c>
      <c r="B14" s="80" t="s">
        <v>210</v>
      </c>
      <c r="C14" s="3"/>
      <c r="D14" s="3"/>
      <c r="E14" s="3"/>
      <c r="F14" s="3"/>
      <c r="G14" s="3"/>
      <c r="H14" s="3"/>
      <c r="I14" s="3"/>
      <c r="J14" s="3"/>
      <c r="K14" s="3"/>
      <c r="L14" s="3"/>
      <c r="M14" s="3"/>
      <c r="N14" s="3"/>
      <c r="O14" s="3"/>
    </row>
    <row r="15" spans="1:15" ht="15" customHeight="1" x14ac:dyDescent="0.2">
      <c r="A15" s="80" t="s">
        <v>211</v>
      </c>
      <c r="B15" s="80" t="s">
        <v>212</v>
      </c>
      <c r="C15" s="3"/>
      <c r="D15" s="3"/>
      <c r="E15" s="3"/>
      <c r="F15" s="3"/>
      <c r="G15" s="3"/>
      <c r="H15" s="3"/>
      <c r="I15" s="3"/>
      <c r="J15" s="3"/>
      <c r="K15" s="3"/>
      <c r="L15" s="3"/>
      <c r="M15" s="3"/>
      <c r="N15" s="3"/>
      <c r="O15" s="3"/>
    </row>
    <row r="16" spans="1:15" ht="15" customHeight="1" x14ac:dyDescent="0.2">
      <c r="A16" s="80" t="s">
        <v>213</v>
      </c>
      <c r="B16" s="80" t="s">
        <v>214</v>
      </c>
      <c r="C16" s="3"/>
      <c r="D16" s="3"/>
      <c r="E16" s="3"/>
      <c r="F16" s="3"/>
      <c r="G16" s="3"/>
      <c r="H16" s="3"/>
      <c r="I16" s="3"/>
      <c r="J16" s="3"/>
      <c r="K16" s="3"/>
      <c r="L16" s="3"/>
      <c r="M16" s="3"/>
      <c r="N16" s="3"/>
      <c r="O16" s="3"/>
    </row>
    <row r="17" spans="1:15" ht="15" customHeight="1" x14ac:dyDescent="0.2">
      <c r="A17" s="80" t="s">
        <v>215</v>
      </c>
      <c r="B17" s="80" t="s">
        <v>216</v>
      </c>
      <c r="C17" s="3"/>
      <c r="D17" s="3"/>
      <c r="E17" s="3"/>
      <c r="F17" s="3"/>
      <c r="G17" s="3"/>
      <c r="H17" s="3"/>
      <c r="I17" s="3"/>
      <c r="J17" s="3"/>
      <c r="K17" s="3"/>
      <c r="L17" s="3"/>
      <c r="M17" s="3"/>
      <c r="N17" s="3"/>
      <c r="O17" s="3"/>
    </row>
    <row r="18" spans="1:15" ht="15" customHeight="1" x14ac:dyDescent="0.2">
      <c r="A18" s="80" t="s">
        <v>217</v>
      </c>
      <c r="B18" s="80" t="s">
        <v>218</v>
      </c>
      <c r="C18" s="3"/>
      <c r="D18" s="3"/>
      <c r="E18" s="3"/>
      <c r="F18" s="3"/>
      <c r="G18" s="3"/>
      <c r="H18" s="3"/>
      <c r="I18" s="3"/>
      <c r="J18" s="3"/>
      <c r="K18" s="3"/>
      <c r="L18" s="3"/>
      <c r="M18" s="3"/>
      <c r="N18" s="3"/>
      <c r="O18" s="3"/>
    </row>
    <row r="19" spans="1:15" ht="15" customHeight="1" x14ac:dyDescent="0.2">
      <c r="A19" s="80" t="s">
        <v>113</v>
      </c>
      <c r="B19" s="80" t="s">
        <v>219</v>
      </c>
      <c r="C19" s="3"/>
      <c r="D19" s="3"/>
      <c r="E19" s="3"/>
      <c r="F19" s="3"/>
      <c r="G19" s="3"/>
      <c r="H19" s="3"/>
      <c r="I19" s="3"/>
      <c r="J19" s="3"/>
      <c r="K19" s="3"/>
      <c r="L19" s="3"/>
      <c r="M19" s="3"/>
      <c r="N19" s="3"/>
      <c r="O19" s="3"/>
    </row>
    <row r="20" spans="1:15" ht="15" customHeight="1" x14ac:dyDescent="0.2">
      <c r="A20" s="80" t="s">
        <v>119</v>
      </c>
      <c r="B20" s="80" t="s">
        <v>220</v>
      </c>
      <c r="C20" s="3"/>
      <c r="D20" s="3"/>
      <c r="E20" s="3"/>
      <c r="F20" s="3"/>
      <c r="G20" s="3"/>
      <c r="H20" s="3"/>
      <c r="I20" s="3"/>
      <c r="J20" s="3"/>
      <c r="K20" s="3"/>
      <c r="L20" s="3"/>
      <c r="M20" s="3"/>
      <c r="N20" s="3"/>
      <c r="O20" s="3"/>
    </row>
    <row r="21" spans="1:15" ht="15" customHeight="1" x14ac:dyDescent="0.2">
      <c r="A21" s="80" t="s">
        <v>221</v>
      </c>
      <c r="B21" s="80" t="s">
        <v>222</v>
      </c>
      <c r="C21" s="3"/>
      <c r="D21" s="3"/>
      <c r="E21" s="3"/>
      <c r="F21" s="3"/>
      <c r="G21" s="3"/>
      <c r="H21" s="3"/>
      <c r="I21" s="3"/>
      <c r="J21" s="3"/>
      <c r="K21" s="3"/>
      <c r="L21" s="3"/>
      <c r="M21" s="3"/>
      <c r="N21" s="3"/>
      <c r="O21" s="3"/>
    </row>
    <row r="22" spans="1:15" ht="15" customHeight="1" x14ac:dyDescent="0.2">
      <c r="A22" s="80" t="s">
        <v>223</v>
      </c>
      <c r="B22" s="80" t="s">
        <v>224</v>
      </c>
      <c r="C22" s="3"/>
      <c r="D22" s="3"/>
      <c r="E22" s="3"/>
      <c r="F22" s="3"/>
      <c r="G22" s="3"/>
      <c r="H22" s="3"/>
      <c r="I22" s="3"/>
      <c r="J22" s="3"/>
      <c r="K22" s="3"/>
      <c r="L22" s="3"/>
      <c r="M22" s="3"/>
      <c r="N22" s="3"/>
      <c r="O22" s="3"/>
    </row>
    <row r="23" spans="1:15" ht="15" customHeight="1" x14ac:dyDescent="0.2">
      <c r="A23" s="80" t="s">
        <v>225</v>
      </c>
      <c r="B23" s="80" t="s">
        <v>226</v>
      </c>
      <c r="C23" s="3"/>
      <c r="D23" s="3"/>
      <c r="E23" s="3"/>
      <c r="F23" s="3"/>
      <c r="G23" s="3"/>
      <c r="H23" s="3"/>
      <c r="I23" s="3"/>
      <c r="J23" s="3"/>
      <c r="K23" s="3"/>
      <c r="L23" s="3"/>
      <c r="M23" s="3"/>
      <c r="N23" s="3"/>
      <c r="O23" s="3"/>
    </row>
    <row r="24" spans="1:15" ht="15" customHeight="1" x14ac:dyDescent="0.2">
      <c r="A24" s="80" t="s">
        <v>227</v>
      </c>
      <c r="B24" s="80" t="s">
        <v>228</v>
      </c>
      <c r="C24" s="3"/>
      <c r="D24" s="3"/>
      <c r="E24" s="3"/>
      <c r="F24" s="3"/>
      <c r="G24" s="3"/>
      <c r="H24" s="3"/>
      <c r="I24" s="3"/>
      <c r="J24" s="3"/>
      <c r="K24" s="3"/>
      <c r="L24" s="3"/>
      <c r="M24" s="3"/>
      <c r="N24" s="3"/>
      <c r="O24" s="3"/>
    </row>
    <row r="25" spans="1:15" ht="15" customHeight="1" x14ac:dyDescent="0.2">
      <c r="A25" s="80" t="s">
        <v>229</v>
      </c>
      <c r="B25" s="80" t="s">
        <v>230</v>
      </c>
      <c r="C25" s="3"/>
      <c r="D25" s="3"/>
      <c r="E25" s="3"/>
      <c r="F25" s="3"/>
      <c r="G25" s="3"/>
      <c r="H25" s="3"/>
      <c r="I25" s="3"/>
      <c r="J25" s="3"/>
      <c r="K25" s="3"/>
      <c r="L25" s="3"/>
      <c r="M25" s="3"/>
      <c r="N25" s="3"/>
      <c r="O25" s="3"/>
    </row>
  </sheetData>
  <mergeCells count="1">
    <mergeCell ref="A1:B1"/>
  </mergeCells>
  <hyperlinks>
    <hyperlink ref="A1" location="Dashboard!A1" display="GLOSSAIRE SAFe — NEOPRO" xr:uid="{00000000-0004-0000-0200-000000000000}"/>
    <hyperlink ref="O2" r:id="rId1" location="Dashboard!A1" xr:uid="{00000000-0004-0000-0200-000001000000}"/>
  </hyperlinks>
  <pageMargins left="0.75" right="0.75" top="1" bottom="1" header="0.511811023622047" footer="0.511811023622047"/>
  <pageSetup paperSize="9" orientation="portrait"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4"/>
  <sheetViews>
    <sheetView showGridLines="0" zoomScale="106" zoomScaleNormal="57" workbookViewId="0">
      <pane ySplit="1" topLeftCell="A2" activePane="bottomLeft" state="frozen"/>
      <selection pane="bottomLeft" activeCell="A5" sqref="A5:F5"/>
    </sheetView>
  </sheetViews>
  <sheetFormatPr baseColWidth="10" defaultColWidth="8.6640625" defaultRowHeight="15" x14ac:dyDescent="0.2"/>
  <cols>
    <col min="1" max="1" width="21" customWidth="1"/>
    <col min="2" max="2" width="60" customWidth="1"/>
    <col min="3" max="3" width="81.83203125" customWidth="1"/>
    <col min="4" max="4" width="55" customWidth="1"/>
    <col min="5" max="5" width="14" customWidth="1"/>
    <col min="6" max="6" width="12" customWidth="1"/>
  </cols>
  <sheetData>
    <row r="1" spans="1:15" ht="18" x14ac:dyDescent="0.2">
      <c r="A1" s="288" t="s">
        <v>231</v>
      </c>
      <c r="B1" s="288"/>
      <c r="C1" s="288"/>
      <c r="D1" s="288"/>
      <c r="E1" s="288"/>
      <c r="F1" s="288"/>
      <c r="G1" s="3"/>
      <c r="H1" s="3"/>
      <c r="I1" s="3"/>
      <c r="J1" s="3"/>
      <c r="K1" s="3"/>
      <c r="L1" s="3"/>
      <c r="M1" s="3"/>
      <c r="N1" s="3"/>
      <c r="O1" s="3"/>
    </row>
    <row r="2" spans="1:15" x14ac:dyDescent="0.2">
      <c r="A2" s="81"/>
      <c r="B2" s="81"/>
      <c r="C2" s="81"/>
      <c r="D2" s="81"/>
      <c r="E2" s="81"/>
      <c r="F2" s="81"/>
      <c r="G2" s="3"/>
      <c r="H2" s="3"/>
      <c r="I2" s="3"/>
      <c r="J2" s="3"/>
      <c r="K2" s="3"/>
      <c r="L2" s="3"/>
      <c r="M2" s="3"/>
      <c r="N2" s="3"/>
      <c r="O2" s="66" t="s">
        <v>70</v>
      </c>
    </row>
    <row r="3" spans="1:15" ht="16" x14ac:dyDescent="0.2">
      <c r="A3" s="289" t="s">
        <v>232</v>
      </c>
      <c r="B3" s="289"/>
      <c r="C3" s="289"/>
      <c r="D3" s="289"/>
      <c r="E3" s="289"/>
      <c r="F3" s="289"/>
      <c r="G3" s="3"/>
      <c r="H3" s="3"/>
      <c r="I3" s="3"/>
      <c r="J3" s="3"/>
      <c r="K3" s="3"/>
      <c r="L3" s="3"/>
      <c r="M3" s="3"/>
      <c r="N3" s="3"/>
      <c r="O3" s="3"/>
    </row>
    <row r="4" spans="1:15" x14ac:dyDescent="0.2">
      <c r="A4" s="81"/>
      <c r="B4" s="81"/>
      <c r="C4" s="81"/>
      <c r="D4" s="81"/>
      <c r="E4" s="81"/>
      <c r="F4" s="81"/>
      <c r="G4" s="3"/>
      <c r="H4" s="3"/>
      <c r="I4" s="3"/>
      <c r="J4" s="3"/>
      <c r="K4" s="3"/>
      <c r="L4" s="3"/>
      <c r="M4" s="3"/>
      <c r="N4" s="3"/>
      <c r="O4" s="3"/>
    </row>
    <row r="5" spans="1:15" x14ac:dyDescent="0.2">
      <c r="A5" s="290" t="s">
        <v>233</v>
      </c>
      <c r="B5" s="290"/>
      <c r="C5" s="290"/>
      <c r="D5" s="290"/>
      <c r="E5" s="290"/>
      <c r="F5" s="290"/>
      <c r="G5" s="3"/>
      <c r="H5" s="3"/>
      <c r="I5" s="3"/>
      <c r="J5" s="3"/>
      <c r="K5" s="3"/>
      <c r="L5" s="3"/>
      <c r="M5" s="3"/>
      <c r="N5" s="3"/>
      <c r="O5" s="3"/>
    </row>
    <row r="6" spans="1:15" x14ac:dyDescent="0.2">
      <c r="A6" s="81"/>
      <c r="B6" s="81"/>
      <c r="C6" s="81"/>
      <c r="D6" s="81"/>
      <c r="E6" s="81"/>
      <c r="F6" s="81"/>
      <c r="G6" s="3"/>
      <c r="H6" s="3"/>
      <c r="I6" s="3"/>
      <c r="J6" s="3"/>
      <c r="K6" s="3"/>
      <c r="L6" s="3"/>
      <c r="M6" s="3"/>
      <c r="N6" s="3"/>
      <c r="O6" s="3"/>
    </row>
    <row r="7" spans="1:15" ht="16" x14ac:dyDescent="0.2">
      <c r="A7" s="289" t="s">
        <v>234</v>
      </c>
      <c r="B7" s="289"/>
      <c r="C7" s="289"/>
      <c r="D7" s="289"/>
      <c r="E7" s="289"/>
      <c r="F7" s="289"/>
      <c r="G7" s="3"/>
      <c r="H7" s="3"/>
      <c r="I7" s="3"/>
      <c r="J7" s="3"/>
      <c r="K7" s="3"/>
      <c r="L7" s="3"/>
      <c r="M7" s="3"/>
      <c r="N7" s="3"/>
      <c r="O7" s="3"/>
    </row>
    <row r="8" spans="1:15" x14ac:dyDescent="0.2">
      <c r="A8" s="82" t="s">
        <v>235</v>
      </c>
      <c r="B8" s="83" t="s">
        <v>236</v>
      </c>
      <c r="C8" s="83" t="s">
        <v>237</v>
      </c>
      <c r="D8" s="83" t="s">
        <v>238</v>
      </c>
      <c r="E8" s="83" t="s">
        <v>239</v>
      </c>
      <c r="F8" s="84" t="s">
        <v>240</v>
      </c>
      <c r="G8" s="3"/>
      <c r="H8" s="3"/>
      <c r="I8" s="3"/>
      <c r="J8" s="3"/>
      <c r="K8" s="3"/>
      <c r="L8" s="3"/>
      <c r="M8" s="3"/>
      <c r="N8" s="3"/>
      <c r="O8" s="3"/>
    </row>
    <row r="9" spans="1:15" ht="27" customHeight="1" x14ac:dyDescent="0.2">
      <c r="A9" s="85" t="s">
        <v>241</v>
      </c>
      <c r="B9" s="86" t="s">
        <v>242</v>
      </c>
      <c r="C9" s="86" t="s">
        <v>243</v>
      </c>
      <c r="D9" s="86" t="s">
        <v>244</v>
      </c>
      <c r="E9" s="86" t="s">
        <v>245</v>
      </c>
      <c r="F9" s="87" t="s">
        <v>246</v>
      </c>
      <c r="G9" s="3"/>
      <c r="H9" s="3"/>
      <c r="I9" s="3"/>
      <c r="J9" s="3"/>
      <c r="K9" s="3"/>
      <c r="L9" s="3"/>
      <c r="M9" s="3"/>
      <c r="N9" s="3"/>
      <c r="O9" s="3"/>
    </row>
    <row r="10" spans="1:15" x14ac:dyDescent="0.2">
      <c r="A10" s="88" t="s">
        <v>247</v>
      </c>
      <c r="B10" s="89" t="s">
        <v>248</v>
      </c>
      <c r="C10" s="89" t="s">
        <v>249</v>
      </c>
      <c r="D10" s="89" t="s">
        <v>250</v>
      </c>
      <c r="E10" s="89" t="s">
        <v>251</v>
      </c>
      <c r="F10" s="90" t="s">
        <v>252</v>
      </c>
      <c r="G10" s="3"/>
      <c r="H10" s="3"/>
      <c r="I10" s="3"/>
      <c r="J10" s="3"/>
      <c r="K10" s="3"/>
      <c r="L10" s="3"/>
      <c r="M10" s="3"/>
      <c r="N10" s="3"/>
      <c r="O10" s="3"/>
    </row>
    <row r="11" spans="1:15" x14ac:dyDescent="0.2">
      <c r="A11" s="85" t="s">
        <v>253</v>
      </c>
      <c r="B11" s="86" t="s">
        <v>254</v>
      </c>
      <c r="C11" s="86" t="s">
        <v>255</v>
      </c>
      <c r="D11" s="86" t="s">
        <v>256</v>
      </c>
      <c r="E11" s="86" t="s">
        <v>257</v>
      </c>
      <c r="F11" s="87" t="s">
        <v>258</v>
      </c>
      <c r="G11" s="3"/>
      <c r="H11" s="3"/>
      <c r="I11" s="3"/>
      <c r="J11" s="3"/>
      <c r="K11" s="3"/>
      <c r="L11" s="3"/>
      <c r="M11" s="3"/>
      <c r="N11" s="3"/>
      <c r="O11" s="3"/>
    </row>
    <row r="12" spans="1:15" x14ac:dyDescent="0.2">
      <c r="A12" s="91" t="s">
        <v>259</v>
      </c>
      <c r="B12" s="92" t="s">
        <v>260</v>
      </c>
      <c r="C12" s="92" t="s">
        <v>261</v>
      </c>
      <c r="D12" s="92" t="s">
        <v>262</v>
      </c>
      <c r="E12" s="92" t="s">
        <v>263</v>
      </c>
      <c r="F12" s="93" t="s">
        <v>258</v>
      </c>
      <c r="G12" s="3"/>
      <c r="H12" s="3"/>
      <c r="I12" s="3"/>
      <c r="J12" s="3"/>
      <c r="K12" s="3"/>
      <c r="L12" s="3"/>
      <c r="M12" s="3"/>
      <c r="N12" s="3"/>
      <c r="O12" s="3"/>
    </row>
    <row r="13" spans="1:15" x14ac:dyDescent="0.2">
      <c r="A13" s="81"/>
      <c r="B13" s="81"/>
      <c r="C13" s="81"/>
      <c r="D13" s="81"/>
      <c r="E13" s="81"/>
      <c r="F13" s="81"/>
      <c r="G13" s="3"/>
      <c r="H13" s="3"/>
      <c r="I13" s="3"/>
      <c r="J13" s="3"/>
      <c r="K13" s="3"/>
      <c r="L13" s="3"/>
      <c r="M13" s="3"/>
      <c r="N13" s="3"/>
      <c r="O13" s="3"/>
    </row>
    <row r="14" spans="1:15" ht="16" x14ac:dyDescent="0.2">
      <c r="A14" s="291" t="s">
        <v>264</v>
      </c>
      <c r="B14" s="291"/>
      <c r="C14" s="291"/>
      <c r="D14" s="291"/>
      <c r="E14" s="291"/>
      <c r="F14" s="291"/>
      <c r="G14" s="3"/>
      <c r="H14" s="3"/>
      <c r="I14" s="3"/>
      <c r="J14" s="3"/>
      <c r="K14" s="3"/>
      <c r="L14" s="3"/>
      <c r="M14" s="3"/>
      <c r="N14" s="3"/>
      <c r="O14" s="3"/>
    </row>
    <row r="15" spans="1:15" x14ac:dyDescent="0.2">
      <c r="A15" s="94" t="s">
        <v>265</v>
      </c>
      <c r="B15" s="95" t="s">
        <v>266</v>
      </c>
      <c r="C15" s="95" t="s">
        <v>267</v>
      </c>
      <c r="D15" s="95" t="s">
        <v>268</v>
      </c>
      <c r="E15" s="95" t="s">
        <v>269</v>
      </c>
      <c r="F15" s="96" t="s">
        <v>270</v>
      </c>
      <c r="G15" s="3"/>
      <c r="H15" s="3"/>
      <c r="I15" s="3"/>
      <c r="J15" s="3"/>
      <c r="K15" s="3"/>
      <c r="L15" s="3"/>
      <c r="M15" s="3"/>
      <c r="N15" s="3"/>
      <c r="O15" s="3"/>
    </row>
    <row r="16" spans="1:15" ht="28" x14ac:dyDescent="0.2">
      <c r="A16" s="97" t="s">
        <v>271</v>
      </c>
      <c r="B16" s="98" t="s">
        <v>272</v>
      </c>
      <c r="C16" s="98" t="s">
        <v>273</v>
      </c>
      <c r="D16" s="98" t="s">
        <v>274</v>
      </c>
      <c r="E16" s="98" t="s">
        <v>253</v>
      </c>
      <c r="F16" s="99" t="s">
        <v>275</v>
      </c>
      <c r="G16" s="3"/>
      <c r="H16" s="3"/>
      <c r="I16" s="3"/>
      <c r="J16" s="3"/>
      <c r="K16" s="3"/>
      <c r="L16" s="3"/>
      <c r="M16" s="3"/>
      <c r="N16" s="3"/>
      <c r="O16" s="3"/>
    </row>
    <row r="17" spans="1:15" x14ac:dyDescent="0.2">
      <c r="A17" s="100"/>
      <c r="B17" s="101"/>
      <c r="C17" s="101" t="s">
        <v>276</v>
      </c>
      <c r="D17" s="101" t="s">
        <v>277</v>
      </c>
      <c r="E17" s="101" t="s">
        <v>253</v>
      </c>
      <c r="F17" s="102" t="s">
        <v>278</v>
      </c>
      <c r="G17" s="3"/>
      <c r="H17" s="3"/>
      <c r="I17" s="3"/>
      <c r="J17" s="3"/>
      <c r="K17" s="3"/>
      <c r="L17" s="3"/>
      <c r="M17" s="3"/>
      <c r="N17" s="3"/>
      <c r="O17" s="3"/>
    </row>
    <row r="18" spans="1:15" x14ac:dyDescent="0.2">
      <c r="A18" s="100"/>
      <c r="B18" s="101"/>
      <c r="C18" s="101" t="s">
        <v>279</v>
      </c>
      <c r="D18" s="101" t="s">
        <v>280</v>
      </c>
      <c r="E18" s="101" t="s">
        <v>253</v>
      </c>
      <c r="F18" s="102" t="s">
        <v>278</v>
      </c>
      <c r="G18" s="3"/>
      <c r="H18" s="3"/>
      <c r="I18" s="3"/>
      <c r="J18" s="3"/>
      <c r="K18" s="3"/>
      <c r="L18" s="3"/>
      <c r="M18" s="3"/>
      <c r="N18" s="3"/>
      <c r="O18" s="3"/>
    </row>
    <row r="19" spans="1:15" x14ac:dyDescent="0.2">
      <c r="A19" s="100"/>
      <c r="B19" s="101"/>
      <c r="C19" s="101" t="s">
        <v>281</v>
      </c>
      <c r="D19" s="101" t="s">
        <v>282</v>
      </c>
      <c r="E19" s="101" t="s">
        <v>283</v>
      </c>
      <c r="F19" s="102" t="s">
        <v>284</v>
      </c>
      <c r="G19" s="3"/>
      <c r="H19" s="3"/>
      <c r="I19" s="3"/>
      <c r="J19" s="3"/>
      <c r="K19" s="3"/>
      <c r="L19" s="3"/>
      <c r="M19" s="3"/>
      <c r="N19" s="3"/>
      <c r="O19" s="3"/>
    </row>
    <row r="20" spans="1:15" x14ac:dyDescent="0.2">
      <c r="A20" s="103"/>
      <c r="B20" s="104"/>
      <c r="C20" s="104" t="s">
        <v>285</v>
      </c>
      <c r="D20" s="104" t="s">
        <v>286</v>
      </c>
      <c r="E20" s="104" t="s">
        <v>253</v>
      </c>
      <c r="F20" s="105" t="s">
        <v>287</v>
      </c>
      <c r="G20" s="3"/>
      <c r="H20" s="3"/>
      <c r="I20" s="3"/>
      <c r="J20" s="3"/>
      <c r="K20" s="3"/>
      <c r="L20" s="3"/>
      <c r="M20" s="3"/>
      <c r="N20" s="3"/>
      <c r="O20" s="3"/>
    </row>
    <row r="21" spans="1:15" x14ac:dyDescent="0.2">
      <c r="A21" s="101"/>
      <c r="B21" s="101"/>
      <c r="C21" s="101" t="s">
        <v>288</v>
      </c>
      <c r="D21" s="101" t="s">
        <v>289</v>
      </c>
      <c r="E21" s="101" t="s">
        <v>241</v>
      </c>
      <c r="F21" s="101" t="s">
        <v>287</v>
      </c>
      <c r="G21" s="3"/>
      <c r="H21" s="3"/>
      <c r="I21" s="3"/>
      <c r="J21" s="3"/>
      <c r="K21" s="3"/>
      <c r="L21" s="3"/>
      <c r="M21" s="3"/>
      <c r="N21" s="3"/>
      <c r="O21" s="3"/>
    </row>
    <row r="22" spans="1:15" x14ac:dyDescent="0.2">
      <c r="A22" s="101"/>
      <c r="B22" s="101"/>
      <c r="C22" s="101" t="s">
        <v>290</v>
      </c>
      <c r="D22" s="101" t="s">
        <v>291</v>
      </c>
      <c r="E22" s="101" t="s">
        <v>241</v>
      </c>
      <c r="F22" s="101" t="s">
        <v>284</v>
      </c>
      <c r="G22" s="3"/>
      <c r="H22" s="3"/>
      <c r="I22" s="3"/>
      <c r="J22" s="3"/>
      <c r="K22" s="3"/>
      <c r="L22" s="3"/>
      <c r="M22" s="3"/>
      <c r="N22" s="3"/>
      <c r="O22" s="3"/>
    </row>
    <row r="23" spans="1:15" x14ac:dyDescent="0.2">
      <c r="A23" s="101"/>
      <c r="B23" s="101"/>
      <c r="C23" s="101" t="s">
        <v>292</v>
      </c>
      <c r="D23" s="101" t="s">
        <v>2499</v>
      </c>
      <c r="E23" s="101" t="s">
        <v>241</v>
      </c>
      <c r="F23" s="101" t="s">
        <v>284</v>
      </c>
      <c r="G23" s="3"/>
      <c r="H23" s="3"/>
      <c r="I23" s="3"/>
      <c r="J23" s="3"/>
      <c r="K23" s="3"/>
      <c r="L23" s="3"/>
      <c r="M23" s="3"/>
      <c r="N23" s="3"/>
      <c r="O23" s="3"/>
    </row>
    <row r="24" spans="1:15" x14ac:dyDescent="0.2">
      <c r="A24" s="106" t="s">
        <v>293</v>
      </c>
      <c r="B24" s="106" t="s">
        <v>294</v>
      </c>
      <c r="C24" s="106" t="s">
        <v>295</v>
      </c>
      <c r="D24" s="106" t="s">
        <v>296</v>
      </c>
      <c r="E24" s="106" t="s">
        <v>247</v>
      </c>
      <c r="F24" s="106" t="s">
        <v>284</v>
      </c>
      <c r="G24" s="3"/>
      <c r="H24" s="3"/>
      <c r="I24" s="3"/>
      <c r="J24" s="3"/>
      <c r="K24" s="3"/>
      <c r="L24" s="3"/>
      <c r="M24" s="3"/>
      <c r="N24" s="3"/>
      <c r="O24" s="3"/>
    </row>
    <row r="25" spans="1:15" x14ac:dyDescent="0.2">
      <c r="A25" s="107"/>
      <c r="B25" s="107"/>
      <c r="C25" s="107" t="s">
        <v>297</v>
      </c>
      <c r="D25" s="107" t="s">
        <v>298</v>
      </c>
      <c r="E25" s="107" t="s">
        <v>247</v>
      </c>
      <c r="F25" s="107" t="s">
        <v>299</v>
      </c>
      <c r="G25" s="3"/>
      <c r="H25" s="3"/>
      <c r="I25" s="3"/>
      <c r="J25" s="3"/>
      <c r="K25" s="3"/>
      <c r="L25" s="3"/>
      <c r="M25" s="3"/>
      <c r="N25" s="3"/>
      <c r="O25" s="3"/>
    </row>
    <row r="26" spans="1:15" x14ac:dyDescent="0.2">
      <c r="A26" s="107"/>
      <c r="B26" s="107"/>
      <c r="C26" s="107" t="s">
        <v>2495</v>
      </c>
      <c r="D26" s="107" t="s">
        <v>300</v>
      </c>
      <c r="E26" s="107" t="s">
        <v>247</v>
      </c>
      <c r="F26" s="107" t="s">
        <v>301</v>
      </c>
      <c r="G26" s="3"/>
      <c r="H26" s="3"/>
      <c r="I26" s="3"/>
      <c r="J26" s="3"/>
      <c r="K26" s="3"/>
      <c r="L26" s="3"/>
      <c r="M26" s="3"/>
      <c r="N26" s="3"/>
      <c r="O26" s="3"/>
    </row>
    <row r="27" spans="1:15" x14ac:dyDescent="0.2">
      <c r="A27" s="107"/>
      <c r="B27" s="107"/>
      <c r="C27" s="107" t="s">
        <v>302</v>
      </c>
      <c r="D27" s="107" t="s">
        <v>303</v>
      </c>
      <c r="E27" s="107" t="s">
        <v>247</v>
      </c>
      <c r="F27" s="107" t="s">
        <v>287</v>
      </c>
      <c r="G27" s="3"/>
      <c r="H27" s="3"/>
      <c r="I27" s="3"/>
      <c r="J27" s="3"/>
      <c r="K27" s="3"/>
      <c r="L27" s="3"/>
      <c r="M27" s="3"/>
      <c r="N27" s="3"/>
      <c r="O27" s="3"/>
    </row>
    <row r="28" spans="1:15" x14ac:dyDescent="0.2">
      <c r="A28" s="107"/>
      <c r="B28" s="107"/>
      <c r="C28" s="107" t="s">
        <v>304</v>
      </c>
      <c r="D28" s="107" t="s">
        <v>305</v>
      </c>
      <c r="E28" s="107" t="s">
        <v>283</v>
      </c>
      <c r="F28" s="107" t="s">
        <v>263</v>
      </c>
      <c r="G28" s="3"/>
      <c r="H28" s="3"/>
      <c r="I28" s="3"/>
      <c r="J28" s="3"/>
      <c r="K28" s="3"/>
      <c r="L28" s="3"/>
      <c r="M28" s="3"/>
      <c r="N28" s="3"/>
      <c r="O28" s="3"/>
    </row>
    <row r="29" spans="1:15" x14ac:dyDescent="0.2">
      <c r="A29" s="107"/>
      <c r="B29" s="107"/>
      <c r="C29" s="107" t="s">
        <v>306</v>
      </c>
      <c r="D29" s="107" t="s">
        <v>307</v>
      </c>
      <c r="E29" s="107" t="s">
        <v>308</v>
      </c>
      <c r="F29" s="107" t="s">
        <v>263</v>
      </c>
      <c r="G29" s="3"/>
      <c r="H29" s="3"/>
      <c r="I29" s="3"/>
      <c r="J29" s="3"/>
      <c r="K29" s="3"/>
      <c r="L29" s="3"/>
      <c r="M29" s="3"/>
      <c r="N29" s="3"/>
      <c r="O29" s="3"/>
    </row>
    <row r="30" spans="1:15" x14ac:dyDescent="0.2">
      <c r="A30" s="107"/>
      <c r="B30" s="107"/>
      <c r="C30" s="107" t="s">
        <v>309</v>
      </c>
      <c r="D30" s="107" t="s">
        <v>310</v>
      </c>
      <c r="E30" s="107" t="s">
        <v>308</v>
      </c>
      <c r="F30" s="107" t="s">
        <v>275</v>
      </c>
      <c r="G30" s="3"/>
      <c r="H30" s="3"/>
      <c r="I30" s="3"/>
      <c r="J30" s="3"/>
      <c r="K30" s="3"/>
      <c r="L30" s="3"/>
      <c r="M30" s="3"/>
      <c r="N30" s="3"/>
      <c r="O30" s="3"/>
    </row>
    <row r="31" spans="1:15" x14ac:dyDescent="0.2">
      <c r="A31" s="108" t="s">
        <v>311</v>
      </c>
      <c r="B31" s="108" t="s">
        <v>312</v>
      </c>
      <c r="C31" s="108" t="s">
        <v>313</v>
      </c>
      <c r="D31" s="108" t="s">
        <v>314</v>
      </c>
      <c r="E31" s="108" t="s">
        <v>253</v>
      </c>
      <c r="F31" s="108" t="s">
        <v>284</v>
      </c>
      <c r="G31" s="3"/>
      <c r="H31" s="3"/>
      <c r="I31" s="3"/>
      <c r="J31" s="3"/>
      <c r="K31" s="3"/>
      <c r="L31" s="3"/>
      <c r="M31" s="3"/>
      <c r="N31" s="3"/>
      <c r="O31" s="3"/>
    </row>
    <row r="32" spans="1:15" x14ac:dyDescent="0.2">
      <c r="A32" s="109"/>
      <c r="B32" s="109"/>
      <c r="C32" s="109" t="s">
        <v>315</v>
      </c>
      <c r="D32" s="109" t="s">
        <v>316</v>
      </c>
      <c r="E32" s="109" t="s">
        <v>253</v>
      </c>
      <c r="F32" s="109" t="s">
        <v>287</v>
      </c>
      <c r="G32" s="3"/>
      <c r="H32" s="3"/>
      <c r="I32" s="3"/>
      <c r="J32" s="3"/>
      <c r="K32" s="3"/>
      <c r="L32" s="3"/>
      <c r="M32" s="3"/>
      <c r="N32" s="3"/>
      <c r="O32" s="3"/>
    </row>
    <row r="33" spans="1:15" x14ac:dyDescent="0.2">
      <c r="A33" s="110"/>
      <c r="B33" s="110"/>
      <c r="C33" s="110" t="s">
        <v>317</v>
      </c>
      <c r="D33" s="110" t="s">
        <v>318</v>
      </c>
      <c r="E33" s="110" t="s">
        <v>253</v>
      </c>
      <c r="F33" s="110" t="s">
        <v>284</v>
      </c>
      <c r="G33" s="3"/>
      <c r="H33" s="3"/>
      <c r="I33" s="3"/>
      <c r="J33" s="3"/>
      <c r="K33" s="3"/>
      <c r="L33" s="3"/>
      <c r="M33" s="3"/>
      <c r="N33" s="3"/>
      <c r="O33" s="3"/>
    </row>
    <row r="34" spans="1:15" x14ac:dyDescent="0.2">
      <c r="A34" s="110"/>
      <c r="B34" s="110"/>
      <c r="C34" s="110" t="s">
        <v>319</v>
      </c>
      <c r="D34" s="110" t="s">
        <v>320</v>
      </c>
      <c r="E34" s="110" t="s">
        <v>253</v>
      </c>
      <c r="F34" s="110" t="s">
        <v>287</v>
      </c>
      <c r="G34" s="3"/>
      <c r="H34" s="3"/>
      <c r="I34" s="3"/>
      <c r="J34" s="3"/>
      <c r="K34" s="3"/>
      <c r="L34" s="3"/>
      <c r="M34" s="3"/>
      <c r="N34" s="3"/>
      <c r="O34" s="3"/>
    </row>
    <row r="35" spans="1:15" x14ac:dyDescent="0.2">
      <c r="A35" s="109"/>
      <c r="B35" s="109"/>
      <c r="C35" s="109" t="s">
        <v>321</v>
      </c>
      <c r="D35" s="109" t="s">
        <v>322</v>
      </c>
      <c r="E35" s="109" t="s">
        <v>253</v>
      </c>
      <c r="F35" s="109" t="s">
        <v>287</v>
      </c>
      <c r="G35" s="3"/>
      <c r="H35" s="3"/>
      <c r="I35" s="3"/>
      <c r="J35" s="3"/>
      <c r="K35" s="3"/>
      <c r="L35" s="3"/>
      <c r="M35" s="3"/>
      <c r="N35" s="3"/>
      <c r="O35" s="3"/>
    </row>
    <row r="36" spans="1:15" x14ac:dyDescent="0.2">
      <c r="A36" s="109"/>
      <c r="B36" s="109"/>
      <c r="C36" s="109" t="s">
        <v>323</v>
      </c>
      <c r="D36" s="109" t="s">
        <v>324</v>
      </c>
      <c r="E36" s="109" t="s">
        <v>253</v>
      </c>
      <c r="F36" s="109" t="s">
        <v>284</v>
      </c>
      <c r="G36" s="3"/>
      <c r="H36" s="3"/>
      <c r="I36" s="3"/>
      <c r="J36" s="3"/>
      <c r="K36" s="3"/>
      <c r="L36" s="3"/>
      <c r="M36" s="3"/>
      <c r="N36" s="3"/>
      <c r="O36" s="3"/>
    </row>
    <row r="37" spans="1:15" x14ac:dyDescent="0.2">
      <c r="A37" s="109"/>
      <c r="B37" s="109"/>
      <c r="C37" s="109" t="s">
        <v>325</v>
      </c>
      <c r="D37" s="109" t="s">
        <v>326</v>
      </c>
      <c r="E37" s="109" t="s">
        <v>253</v>
      </c>
      <c r="F37" s="109" t="s">
        <v>284</v>
      </c>
      <c r="G37" s="3"/>
      <c r="H37" s="3"/>
      <c r="I37" s="3"/>
      <c r="J37" s="3"/>
      <c r="K37" s="3"/>
      <c r="L37" s="3"/>
      <c r="M37" s="3"/>
      <c r="N37" s="3"/>
      <c r="O37" s="3"/>
    </row>
    <row r="38" spans="1:15" x14ac:dyDescent="0.2">
      <c r="A38" s="109"/>
      <c r="B38" s="109"/>
      <c r="C38" s="109" t="s">
        <v>327</v>
      </c>
      <c r="D38" s="109" t="s">
        <v>328</v>
      </c>
      <c r="E38" s="109" t="s">
        <v>253</v>
      </c>
      <c r="F38" s="109" t="s">
        <v>329</v>
      </c>
      <c r="G38" s="3"/>
      <c r="H38" s="3"/>
      <c r="I38" s="3"/>
      <c r="J38" s="3"/>
      <c r="K38" s="3"/>
      <c r="L38" s="3"/>
      <c r="M38" s="3"/>
      <c r="N38" s="3"/>
      <c r="O38" s="3"/>
    </row>
    <row r="39" spans="1:15" x14ac:dyDescent="0.2">
      <c r="A39" s="111" t="s">
        <v>330</v>
      </c>
      <c r="B39" s="111" t="s">
        <v>331</v>
      </c>
      <c r="C39" s="111" t="s">
        <v>332</v>
      </c>
      <c r="D39" s="111" t="s">
        <v>333</v>
      </c>
      <c r="E39" s="111" t="s">
        <v>259</v>
      </c>
      <c r="F39" s="111" t="s">
        <v>263</v>
      </c>
      <c r="G39" s="3"/>
      <c r="H39" s="3"/>
      <c r="I39" s="3"/>
      <c r="J39" s="3"/>
      <c r="K39" s="3"/>
      <c r="L39" s="3"/>
      <c r="M39" s="3"/>
      <c r="N39" s="3"/>
      <c r="O39" s="3"/>
    </row>
    <row r="40" spans="1:15" x14ac:dyDescent="0.2">
      <c r="A40" s="112"/>
      <c r="B40" s="112"/>
      <c r="C40" s="112" t="s">
        <v>334</v>
      </c>
      <c r="D40" s="112" t="s">
        <v>335</v>
      </c>
      <c r="E40" s="112" t="s">
        <v>259</v>
      </c>
      <c r="F40" s="112" t="s">
        <v>263</v>
      </c>
      <c r="G40" s="3"/>
      <c r="H40" s="3"/>
      <c r="I40" s="3"/>
      <c r="J40" s="3"/>
      <c r="K40" s="3"/>
      <c r="L40" s="3"/>
      <c r="M40" s="3"/>
      <c r="N40" s="3"/>
      <c r="O40" s="3"/>
    </row>
    <row r="41" spans="1:15" x14ac:dyDescent="0.2">
      <c r="A41" s="112"/>
      <c r="B41" s="112"/>
      <c r="C41" s="112" t="s">
        <v>336</v>
      </c>
      <c r="D41" s="112" t="s">
        <v>337</v>
      </c>
      <c r="E41" s="112" t="s">
        <v>259</v>
      </c>
      <c r="F41" s="112" t="s">
        <v>263</v>
      </c>
      <c r="G41" s="3"/>
      <c r="H41" s="3"/>
      <c r="I41" s="3"/>
      <c r="J41" s="3"/>
      <c r="K41" s="3"/>
      <c r="L41" s="3"/>
      <c r="M41" s="3"/>
      <c r="N41" s="3"/>
      <c r="O41" s="3"/>
    </row>
    <row r="42" spans="1:15" x14ac:dyDescent="0.2">
      <c r="A42" s="113"/>
      <c r="B42" s="113"/>
      <c r="C42" s="113" t="s">
        <v>338</v>
      </c>
      <c r="D42" s="113" t="s">
        <v>339</v>
      </c>
      <c r="E42" s="113" t="s">
        <v>259</v>
      </c>
      <c r="F42" s="113" t="s">
        <v>275</v>
      </c>
      <c r="G42" s="3"/>
      <c r="H42" s="3"/>
      <c r="I42" s="3"/>
      <c r="J42" s="3"/>
      <c r="K42" s="3"/>
      <c r="L42" s="3"/>
      <c r="M42" s="3"/>
      <c r="N42" s="3"/>
      <c r="O42" s="3"/>
    </row>
    <row r="43" spans="1:15" x14ac:dyDescent="0.2">
      <c r="A43" s="113"/>
      <c r="B43" s="113"/>
      <c r="C43" s="113" t="s">
        <v>340</v>
      </c>
      <c r="D43" s="113" t="s">
        <v>341</v>
      </c>
      <c r="E43" s="113" t="s">
        <v>259</v>
      </c>
      <c r="F43" s="113" t="s">
        <v>263</v>
      </c>
      <c r="G43" s="3"/>
      <c r="H43" s="3"/>
      <c r="I43" s="3"/>
      <c r="J43" s="3"/>
      <c r="K43" s="3"/>
      <c r="L43" s="3"/>
      <c r="M43" s="3"/>
      <c r="N43" s="3"/>
      <c r="O43" s="3"/>
    </row>
    <row r="44" spans="1:15" x14ac:dyDescent="0.2">
      <c r="A44" s="113"/>
      <c r="B44" s="113"/>
      <c r="C44" s="113" t="s">
        <v>342</v>
      </c>
      <c r="D44" s="113" t="s">
        <v>343</v>
      </c>
      <c r="E44" s="113" t="s">
        <v>259</v>
      </c>
      <c r="F44" s="113" t="s">
        <v>275</v>
      </c>
      <c r="G44" s="3"/>
      <c r="H44" s="3"/>
      <c r="I44" s="3"/>
      <c r="J44" s="3"/>
      <c r="K44" s="3"/>
      <c r="L44" s="3"/>
      <c r="M44" s="3"/>
      <c r="N44" s="3"/>
      <c r="O44" s="3"/>
    </row>
    <row r="45" spans="1:15" x14ac:dyDescent="0.2">
      <c r="A45" s="113"/>
      <c r="B45" s="113"/>
      <c r="C45" s="113" t="s">
        <v>344</v>
      </c>
      <c r="D45" s="113" t="s">
        <v>2500</v>
      </c>
      <c r="E45" s="113" t="s">
        <v>259</v>
      </c>
      <c r="F45" s="113" t="s">
        <v>275</v>
      </c>
      <c r="G45" s="3"/>
      <c r="H45" s="3"/>
      <c r="I45" s="3"/>
      <c r="J45" s="3"/>
      <c r="K45" s="3"/>
      <c r="L45" s="3"/>
      <c r="M45" s="3"/>
      <c r="N45" s="3"/>
      <c r="O45" s="3"/>
    </row>
    <row r="46" spans="1:15" x14ac:dyDescent="0.2">
      <c r="A46" s="114" t="s">
        <v>345</v>
      </c>
      <c r="B46" s="114" t="s">
        <v>346</v>
      </c>
      <c r="C46" s="114" t="s">
        <v>347</v>
      </c>
      <c r="D46" s="114" t="s">
        <v>348</v>
      </c>
      <c r="E46" s="114" t="s">
        <v>259</v>
      </c>
      <c r="F46" s="114" t="s">
        <v>284</v>
      </c>
      <c r="G46" s="3"/>
      <c r="H46" s="3"/>
      <c r="I46" s="3"/>
      <c r="J46" s="3"/>
      <c r="K46" s="3"/>
      <c r="L46" s="3"/>
      <c r="M46" s="3"/>
      <c r="N46" s="3"/>
      <c r="O46" s="3"/>
    </row>
    <row r="47" spans="1:15" x14ac:dyDescent="0.2">
      <c r="A47" s="115"/>
      <c r="B47" s="115"/>
      <c r="C47" s="115" t="s">
        <v>349</v>
      </c>
      <c r="D47" s="115" t="s">
        <v>350</v>
      </c>
      <c r="E47" s="115" t="s">
        <v>259</v>
      </c>
      <c r="F47" s="115" t="s">
        <v>287</v>
      </c>
      <c r="G47" s="3"/>
      <c r="H47" s="3"/>
      <c r="I47" s="3"/>
      <c r="J47" s="3"/>
      <c r="K47" s="3"/>
      <c r="L47" s="3"/>
      <c r="M47" s="3"/>
      <c r="N47" s="3"/>
      <c r="O47" s="3"/>
    </row>
    <row r="48" spans="1:15" x14ac:dyDescent="0.2">
      <c r="A48" s="115"/>
      <c r="B48" s="115"/>
      <c r="C48" s="115" t="s">
        <v>351</v>
      </c>
      <c r="D48" s="115" t="s">
        <v>352</v>
      </c>
      <c r="E48" s="115" t="s">
        <v>259</v>
      </c>
      <c r="F48" s="115" t="s">
        <v>275</v>
      </c>
      <c r="G48" s="3"/>
      <c r="H48" s="3"/>
      <c r="I48" s="3"/>
      <c r="J48" s="3"/>
      <c r="K48" s="3"/>
      <c r="L48" s="3"/>
      <c r="M48" s="3"/>
      <c r="N48" s="3"/>
      <c r="O48" s="3"/>
    </row>
    <row r="49" spans="1:15" x14ac:dyDescent="0.2">
      <c r="A49" s="115"/>
      <c r="B49" s="115"/>
      <c r="C49" s="115" t="s">
        <v>353</v>
      </c>
      <c r="D49" s="115" t="s">
        <v>354</v>
      </c>
      <c r="E49" s="115" t="s">
        <v>259</v>
      </c>
      <c r="F49" s="115" t="s">
        <v>263</v>
      </c>
      <c r="G49" s="3"/>
      <c r="H49" s="3"/>
      <c r="I49" s="3"/>
      <c r="J49" s="3"/>
      <c r="K49" s="3"/>
      <c r="L49" s="3"/>
      <c r="M49" s="3"/>
      <c r="N49" s="3"/>
      <c r="O49" s="3"/>
    </row>
    <row r="50" spans="1:15" x14ac:dyDescent="0.2">
      <c r="A50" s="115"/>
      <c r="B50" s="115"/>
      <c r="C50" s="115" t="s">
        <v>355</v>
      </c>
      <c r="D50" s="115" t="s">
        <v>356</v>
      </c>
      <c r="E50" s="115" t="s">
        <v>259</v>
      </c>
      <c r="F50" s="115" t="s">
        <v>287</v>
      </c>
      <c r="G50" s="3"/>
      <c r="H50" s="3"/>
      <c r="I50" s="3"/>
      <c r="J50" s="3"/>
      <c r="K50" s="3"/>
      <c r="L50" s="3"/>
      <c r="M50" s="3"/>
      <c r="N50" s="3"/>
      <c r="O50" s="3"/>
    </row>
    <row r="51" spans="1:15" x14ac:dyDescent="0.2">
      <c r="A51" s="115"/>
      <c r="B51" s="115"/>
      <c r="C51" s="115" t="s">
        <v>357</v>
      </c>
      <c r="D51" s="115" t="s">
        <v>358</v>
      </c>
      <c r="E51" s="115" t="s">
        <v>259</v>
      </c>
      <c r="F51" s="115" t="s">
        <v>287</v>
      </c>
      <c r="G51" s="3"/>
      <c r="H51" s="3"/>
      <c r="I51" s="3"/>
      <c r="J51" s="3"/>
      <c r="K51" s="3"/>
      <c r="L51" s="3"/>
      <c r="M51" s="3"/>
      <c r="N51" s="3"/>
      <c r="O51" s="3"/>
    </row>
    <row r="52" spans="1:15" x14ac:dyDescent="0.2">
      <c r="A52" s="115"/>
      <c r="B52" s="115"/>
      <c r="C52" s="115" t="s">
        <v>359</v>
      </c>
      <c r="D52" s="115" t="s">
        <v>360</v>
      </c>
      <c r="E52" s="115" t="s">
        <v>259</v>
      </c>
      <c r="F52" s="115" t="s">
        <v>284</v>
      </c>
      <c r="G52" s="3"/>
      <c r="H52" s="3"/>
      <c r="I52" s="3"/>
      <c r="J52" s="3"/>
      <c r="K52" s="3"/>
      <c r="L52" s="3"/>
      <c r="M52" s="3"/>
      <c r="N52" s="3"/>
      <c r="O52" s="3"/>
    </row>
    <row r="53" spans="1:15" x14ac:dyDescent="0.2">
      <c r="A53" s="115"/>
      <c r="B53" s="115"/>
      <c r="C53" s="115" t="s">
        <v>361</v>
      </c>
      <c r="D53" s="115" t="s">
        <v>362</v>
      </c>
      <c r="E53" s="115" t="s">
        <v>259</v>
      </c>
      <c r="F53" s="115" t="s">
        <v>275</v>
      </c>
      <c r="G53" s="3"/>
      <c r="H53" s="3"/>
      <c r="I53" s="3"/>
      <c r="J53" s="3"/>
      <c r="K53" s="3"/>
      <c r="L53" s="3"/>
      <c r="M53" s="3"/>
      <c r="N53" s="3"/>
      <c r="O53" s="3"/>
    </row>
    <row r="54" spans="1:15" x14ac:dyDescent="0.2">
      <c r="A54" s="3"/>
      <c r="B54" s="3"/>
      <c r="C54" s="3"/>
      <c r="D54" s="3"/>
      <c r="E54" s="3"/>
      <c r="F54" s="3"/>
      <c r="G54" s="3"/>
      <c r="H54" s="3"/>
      <c r="I54" s="3"/>
      <c r="J54" s="3"/>
      <c r="K54" s="3"/>
      <c r="L54" s="3"/>
      <c r="M54" s="3"/>
      <c r="N54" s="3"/>
      <c r="O54" s="3"/>
    </row>
    <row r="55" spans="1:15" x14ac:dyDescent="0.2">
      <c r="A55" s="286" t="s">
        <v>363</v>
      </c>
      <c r="B55" s="286"/>
      <c r="C55" s="286"/>
      <c r="D55" s="286"/>
      <c r="E55" s="286"/>
      <c r="F55" s="286"/>
      <c r="G55" s="3"/>
      <c r="H55" s="3"/>
      <c r="I55" s="3"/>
      <c r="J55" s="3"/>
      <c r="K55" s="3"/>
      <c r="L55" s="3"/>
      <c r="M55" s="3"/>
      <c r="N55" s="3"/>
      <c r="O55" s="3"/>
    </row>
    <row r="56" spans="1:15" x14ac:dyDescent="0.2">
      <c r="A56" s="3"/>
      <c r="B56" s="3"/>
      <c r="C56" s="3"/>
      <c r="D56" s="3"/>
      <c r="E56" s="3"/>
      <c r="F56" s="3"/>
      <c r="G56" s="3"/>
      <c r="H56" s="3"/>
      <c r="I56" s="3"/>
      <c r="J56" s="3"/>
      <c r="K56" s="3"/>
      <c r="L56" s="3"/>
      <c r="M56" s="3"/>
      <c r="N56" s="3"/>
      <c r="O56" s="3"/>
    </row>
    <row r="57" spans="1:15" ht="16" x14ac:dyDescent="0.2">
      <c r="A57" s="287" t="s">
        <v>364</v>
      </c>
      <c r="B57" s="287"/>
      <c r="C57" s="287"/>
      <c r="D57" s="287"/>
      <c r="E57" s="287"/>
      <c r="F57" s="287"/>
      <c r="G57" s="3"/>
      <c r="H57" s="3"/>
      <c r="I57" s="3"/>
      <c r="J57" s="3"/>
      <c r="K57" s="3"/>
      <c r="L57" s="3"/>
      <c r="M57" s="3"/>
      <c r="N57" s="3"/>
      <c r="O57" s="3"/>
    </row>
    <row r="58" spans="1:15" x14ac:dyDescent="0.2">
      <c r="A58" s="116" t="s">
        <v>365</v>
      </c>
      <c r="B58" s="116" t="s">
        <v>366</v>
      </c>
      <c r="C58" s="116" t="s">
        <v>270</v>
      </c>
      <c r="D58" s="116" t="s">
        <v>367</v>
      </c>
      <c r="E58" s="116" t="s">
        <v>368</v>
      </c>
      <c r="F58" s="116"/>
      <c r="G58" s="3"/>
      <c r="H58" s="3"/>
      <c r="I58" s="3"/>
      <c r="J58" s="3"/>
      <c r="K58" s="3"/>
      <c r="L58" s="3"/>
      <c r="M58" s="3"/>
      <c r="N58" s="3"/>
      <c r="O58" s="3"/>
    </row>
    <row r="59" spans="1:15" x14ac:dyDescent="0.2">
      <c r="A59" s="80" t="s">
        <v>369</v>
      </c>
      <c r="B59" s="80">
        <v>4</v>
      </c>
      <c r="C59" s="80">
        <v>100</v>
      </c>
      <c r="D59" s="80" t="s">
        <v>370</v>
      </c>
      <c r="E59" s="80" t="s">
        <v>371</v>
      </c>
      <c r="F59" s="3"/>
      <c r="G59" s="3"/>
      <c r="H59" s="3"/>
      <c r="I59" s="3"/>
      <c r="J59" s="3"/>
      <c r="K59" s="3"/>
      <c r="L59" s="3"/>
      <c r="M59" s="3"/>
      <c r="N59" s="3"/>
      <c r="O59" s="3"/>
    </row>
    <row r="60" spans="1:15" x14ac:dyDescent="0.2">
      <c r="A60" s="80" t="s">
        <v>372</v>
      </c>
      <c r="B60" s="80">
        <v>0</v>
      </c>
      <c r="C60" s="80">
        <v>10</v>
      </c>
      <c r="D60" s="80" t="s">
        <v>373</v>
      </c>
      <c r="E60" s="80" t="s">
        <v>374</v>
      </c>
      <c r="F60" s="3"/>
      <c r="G60" s="3"/>
      <c r="H60" s="3"/>
      <c r="I60" s="3"/>
      <c r="J60" s="3"/>
      <c r="K60" s="3"/>
      <c r="L60" s="3"/>
      <c r="M60" s="3"/>
      <c r="N60" s="3"/>
      <c r="O60" s="3"/>
    </row>
    <row r="61" spans="1:15" x14ac:dyDescent="0.2">
      <c r="A61" s="80" t="s">
        <v>375</v>
      </c>
      <c r="B61" s="80" t="s">
        <v>376</v>
      </c>
      <c r="C61" s="80" t="s">
        <v>377</v>
      </c>
      <c r="D61" s="80" t="s">
        <v>378</v>
      </c>
      <c r="E61" s="80" t="s">
        <v>379</v>
      </c>
      <c r="F61" s="3"/>
      <c r="G61" s="3"/>
      <c r="H61" s="3"/>
      <c r="I61" s="3"/>
      <c r="J61" s="3"/>
      <c r="K61" s="3"/>
      <c r="L61" s="3"/>
      <c r="M61" s="3"/>
      <c r="N61" s="3"/>
      <c r="O61" s="3"/>
    </row>
    <row r="62" spans="1:15" x14ac:dyDescent="0.2">
      <c r="A62" s="80" t="s">
        <v>380</v>
      </c>
      <c r="B62" s="80" t="s">
        <v>381</v>
      </c>
      <c r="C62" s="80" t="s">
        <v>382</v>
      </c>
      <c r="D62" s="80" t="s">
        <v>383</v>
      </c>
      <c r="E62" s="80" t="s">
        <v>384</v>
      </c>
      <c r="F62" s="3"/>
      <c r="G62" s="3"/>
      <c r="H62" s="3"/>
      <c r="I62" s="3"/>
      <c r="J62" s="3"/>
      <c r="K62" s="3"/>
      <c r="L62" s="3"/>
      <c r="M62" s="3"/>
      <c r="N62" s="3"/>
      <c r="O62" s="3"/>
    </row>
    <row r="63" spans="1:15" x14ac:dyDescent="0.2">
      <c r="A63" s="80" t="s">
        <v>385</v>
      </c>
      <c r="B63" s="80" t="s">
        <v>386</v>
      </c>
      <c r="C63" s="80" t="s">
        <v>263</v>
      </c>
      <c r="D63" s="80" t="s">
        <v>387</v>
      </c>
      <c r="E63" s="80" t="s">
        <v>388</v>
      </c>
      <c r="F63" s="3"/>
      <c r="G63" s="3"/>
      <c r="H63" s="3"/>
      <c r="I63" s="3"/>
      <c r="J63" s="3"/>
      <c r="K63" s="3"/>
      <c r="L63" s="3"/>
      <c r="M63" s="3"/>
      <c r="N63" s="3"/>
      <c r="O63" s="3"/>
    </row>
    <row r="64" spans="1:15" x14ac:dyDescent="0.2">
      <c r="A64" s="80" t="s">
        <v>389</v>
      </c>
      <c r="B64" s="80">
        <v>174</v>
      </c>
      <c r="C64" s="80" t="s">
        <v>390</v>
      </c>
      <c r="D64" s="80" t="s">
        <v>391</v>
      </c>
      <c r="E64" s="80" t="s">
        <v>392</v>
      </c>
      <c r="F64" s="3"/>
      <c r="G64" s="3"/>
      <c r="H64" s="3"/>
      <c r="I64" s="3"/>
      <c r="J64" s="3"/>
      <c r="K64" s="3"/>
      <c r="L64" s="3"/>
      <c r="M64" s="3"/>
      <c r="N64" s="3"/>
      <c r="O64" s="3"/>
    </row>
  </sheetData>
  <mergeCells count="7">
    <mergeCell ref="A55:F55"/>
    <mergeCell ref="A57:F57"/>
    <mergeCell ref="A1:F1"/>
    <mergeCell ref="A3:F3"/>
    <mergeCell ref="A5:F5"/>
    <mergeCell ref="A7:F7"/>
    <mergeCell ref="A14:F14"/>
  </mergeCells>
  <hyperlinks>
    <hyperlink ref="A1" location="Dashboard!A1" display="NEOPRO — Vision, Thèmes Stratégiques &amp; OKR 2026" xr:uid="{00000000-0004-0000-0300-000000000000}"/>
    <hyperlink ref="O2" r:id="rId1" location="Dashboard!A1" xr:uid="{00000000-0004-0000-0300-000001000000}"/>
  </hyperlinks>
  <pageMargins left="0.75" right="0.75" top="1" bottom="1" header="0.511811023622047" footer="0.511811023622047"/>
  <pageSetup paperSize="9" orientation="portrait" horizontalDpi="300" verticalDpi="300"/>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1"/>
  <sheetViews>
    <sheetView zoomScale="150" zoomScaleNormal="75" workbookViewId="0">
      <pane ySplit="4" topLeftCell="A5" activePane="bottomLeft" state="frozen"/>
      <selection pane="bottomLeft" activeCell="C7" sqref="C7"/>
    </sheetView>
  </sheetViews>
  <sheetFormatPr baseColWidth="10" defaultColWidth="8.6640625" defaultRowHeight="15" customHeight="1" x14ac:dyDescent="0.2"/>
  <cols>
    <col min="1" max="1" width="8.33203125" customWidth="1"/>
    <col min="2" max="2" width="30" customWidth="1"/>
    <col min="3" max="3" width="33.33203125" customWidth="1"/>
    <col min="4" max="4" width="30" customWidth="1"/>
    <col min="5" max="5" width="41.6640625" customWidth="1"/>
    <col min="6" max="6" width="20" customWidth="1"/>
    <col min="7" max="7" width="30" customWidth="1"/>
  </cols>
  <sheetData>
    <row r="1" spans="1:15" ht="30" customHeight="1" x14ac:dyDescent="0.2">
      <c r="A1" s="288" t="s">
        <v>393</v>
      </c>
      <c r="B1" s="288"/>
      <c r="C1" s="288"/>
      <c r="D1" s="288"/>
      <c r="E1" s="288"/>
      <c r="F1" s="288"/>
      <c r="G1" s="288"/>
      <c r="H1" s="3"/>
      <c r="I1" s="3"/>
      <c r="J1" s="3"/>
      <c r="K1" s="3"/>
      <c r="L1" s="3"/>
      <c r="M1" s="3"/>
      <c r="N1" s="3"/>
      <c r="O1" s="3"/>
    </row>
    <row r="2" spans="1:15" ht="15" customHeight="1" x14ac:dyDescent="0.2">
      <c r="A2" s="81"/>
      <c r="B2" s="81"/>
      <c r="C2" s="81"/>
      <c r="D2" s="81"/>
      <c r="E2" s="81"/>
      <c r="F2" s="81"/>
      <c r="G2" s="81"/>
      <c r="H2" s="3"/>
      <c r="I2" s="3"/>
      <c r="J2" s="3"/>
      <c r="K2" s="3"/>
      <c r="L2" s="3"/>
      <c r="M2" s="3"/>
      <c r="N2" s="3"/>
      <c r="O2" s="66" t="s">
        <v>70</v>
      </c>
    </row>
    <row r="3" spans="1:15" ht="24" customHeight="1" x14ac:dyDescent="0.2">
      <c r="A3" s="289" t="s">
        <v>394</v>
      </c>
      <c r="B3" s="289"/>
      <c r="C3" s="289"/>
      <c r="D3" s="289"/>
      <c r="E3" s="289"/>
      <c r="F3" s="289"/>
      <c r="G3" s="289"/>
      <c r="H3" s="3"/>
      <c r="I3" s="3"/>
      <c r="J3" s="3"/>
      <c r="K3" s="3"/>
      <c r="L3" s="3"/>
      <c r="M3" s="3"/>
      <c r="N3" s="3"/>
      <c r="O3" s="3"/>
    </row>
    <row r="4" spans="1:15" ht="15" customHeight="1" x14ac:dyDescent="0.2">
      <c r="A4" s="82" t="s">
        <v>235</v>
      </c>
      <c r="B4" s="83" t="s">
        <v>200</v>
      </c>
      <c r="C4" s="83" t="s">
        <v>395</v>
      </c>
      <c r="D4" s="83" t="s">
        <v>396</v>
      </c>
      <c r="E4" s="83" t="s">
        <v>397</v>
      </c>
      <c r="F4" s="83" t="s">
        <v>398</v>
      </c>
      <c r="G4" s="84" t="s">
        <v>399</v>
      </c>
      <c r="H4" s="3"/>
      <c r="I4" s="3"/>
      <c r="J4" s="3"/>
      <c r="K4" s="3"/>
      <c r="L4" s="3"/>
      <c r="M4" s="3"/>
      <c r="N4" s="3"/>
      <c r="O4" s="3"/>
    </row>
    <row r="5" spans="1:15" ht="21.75" customHeight="1" x14ac:dyDescent="0.2">
      <c r="A5" s="117" t="s">
        <v>250</v>
      </c>
      <c r="B5" s="118" t="s">
        <v>400</v>
      </c>
      <c r="C5" s="118" t="s">
        <v>401</v>
      </c>
      <c r="D5" s="118" t="s">
        <v>402</v>
      </c>
      <c r="E5" s="118" t="s">
        <v>403</v>
      </c>
      <c r="F5" s="118" t="s">
        <v>404</v>
      </c>
      <c r="G5" s="119" t="s">
        <v>405</v>
      </c>
      <c r="H5" s="3"/>
      <c r="I5" s="3"/>
      <c r="J5" s="3"/>
      <c r="K5" s="3"/>
      <c r="L5" s="3"/>
      <c r="M5" s="3"/>
      <c r="N5" s="3"/>
      <c r="O5" s="3"/>
    </row>
    <row r="6" spans="1:15" ht="21.75" customHeight="1" x14ac:dyDescent="0.2">
      <c r="A6" s="120" t="s">
        <v>244</v>
      </c>
      <c r="B6" s="121" t="s">
        <v>406</v>
      </c>
      <c r="C6" s="121" t="s">
        <v>407</v>
      </c>
      <c r="D6" s="121" t="s">
        <v>408</v>
      </c>
      <c r="E6" s="121" t="s">
        <v>409</v>
      </c>
      <c r="F6" s="121" t="s">
        <v>410</v>
      </c>
      <c r="G6" s="122" t="s">
        <v>411</v>
      </c>
      <c r="H6" s="3"/>
      <c r="I6" s="3"/>
      <c r="J6" s="3"/>
      <c r="K6" s="3"/>
      <c r="L6" s="3"/>
      <c r="M6" s="3"/>
      <c r="N6" s="3"/>
      <c r="O6" s="3"/>
    </row>
    <row r="7" spans="1:15" ht="15" customHeight="1" x14ac:dyDescent="0.2">
      <c r="A7" s="81"/>
      <c r="B7" s="81"/>
      <c r="C7" s="81"/>
      <c r="D7" s="81"/>
      <c r="E7" s="81"/>
      <c r="F7" s="81"/>
      <c r="G7" s="81"/>
      <c r="H7" s="3"/>
      <c r="I7" s="3"/>
      <c r="J7" s="3"/>
      <c r="K7" s="3"/>
      <c r="L7" s="3"/>
      <c r="M7" s="3"/>
      <c r="N7" s="3"/>
      <c r="O7" s="3"/>
    </row>
    <row r="8" spans="1:15" ht="24" customHeight="1" x14ac:dyDescent="0.2">
      <c r="A8" s="289" t="s">
        <v>412</v>
      </c>
      <c r="B8" s="289"/>
      <c r="C8" s="289"/>
      <c r="D8" s="289"/>
      <c r="E8" s="289"/>
      <c r="F8" s="289"/>
      <c r="G8" s="289"/>
      <c r="H8" s="3"/>
      <c r="I8" s="3"/>
      <c r="J8" s="3"/>
      <c r="K8" s="3"/>
      <c r="L8" s="3"/>
      <c r="M8" s="3"/>
      <c r="N8" s="3"/>
      <c r="O8" s="3"/>
    </row>
    <row r="9" spans="1:15" ht="15" customHeight="1" x14ac:dyDescent="0.2">
      <c r="A9" s="82" t="s">
        <v>413</v>
      </c>
      <c r="B9" s="83" t="s">
        <v>414</v>
      </c>
      <c r="C9" s="83" t="s">
        <v>415</v>
      </c>
      <c r="D9" s="83" t="s">
        <v>416</v>
      </c>
      <c r="E9" s="83" t="s">
        <v>417</v>
      </c>
      <c r="F9" s="83" t="s">
        <v>418</v>
      </c>
      <c r="G9" s="84" t="s">
        <v>419</v>
      </c>
      <c r="H9" s="3"/>
      <c r="I9" s="3"/>
      <c r="J9" s="3"/>
      <c r="K9" s="3"/>
      <c r="L9" s="3"/>
      <c r="M9" s="3"/>
      <c r="N9" s="3"/>
      <c r="O9" s="3"/>
    </row>
    <row r="10" spans="1:15" ht="15" customHeight="1" x14ac:dyDescent="0.2">
      <c r="A10" s="85">
        <v>1</v>
      </c>
      <c r="B10" s="86" t="s">
        <v>420</v>
      </c>
      <c r="C10" s="86" t="s">
        <v>421</v>
      </c>
      <c r="D10" s="86" t="s">
        <v>422</v>
      </c>
      <c r="E10" s="86" t="s">
        <v>423</v>
      </c>
      <c r="F10" s="86" t="s">
        <v>424</v>
      </c>
      <c r="G10" s="87" t="s">
        <v>425</v>
      </c>
      <c r="H10" s="3"/>
      <c r="I10" s="3"/>
      <c r="J10" s="3"/>
      <c r="K10" s="3"/>
      <c r="L10" s="3"/>
      <c r="M10" s="3"/>
      <c r="N10" s="3"/>
      <c r="O10" s="3"/>
    </row>
    <row r="11" spans="1:15" ht="21.75" customHeight="1" x14ac:dyDescent="0.2">
      <c r="A11" s="88">
        <v>2</v>
      </c>
      <c r="B11" s="89" t="s">
        <v>426</v>
      </c>
      <c r="C11" s="89" t="s">
        <v>427</v>
      </c>
      <c r="D11" s="89" t="s">
        <v>428</v>
      </c>
      <c r="E11" s="89" t="s">
        <v>429</v>
      </c>
      <c r="F11" s="89" t="s">
        <v>430</v>
      </c>
      <c r="G11" s="90" t="s">
        <v>431</v>
      </c>
      <c r="H11" s="3"/>
      <c r="I11" s="3"/>
      <c r="J11" s="3"/>
      <c r="K11" s="3"/>
      <c r="L11" s="3"/>
      <c r="M11" s="3"/>
      <c r="N11" s="3"/>
      <c r="O11" s="3"/>
    </row>
    <row r="12" spans="1:15" ht="21.75" customHeight="1" x14ac:dyDescent="0.2">
      <c r="A12" s="85">
        <v>3</v>
      </c>
      <c r="B12" s="86" t="s">
        <v>432</v>
      </c>
      <c r="C12" s="86" t="s">
        <v>433</v>
      </c>
      <c r="D12" s="86" t="s">
        <v>434</v>
      </c>
      <c r="E12" s="86" t="s">
        <v>435</v>
      </c>
      <c r="F12" s="86" t="s">
        <v>436</v>
      </c>
      <c r="G12" s="87" t="s">
        <v>437</v>
      </c>
      <c r="H12" s="3"/>
      <c r="I12" s="3"/>
      <c r="J12" s="3"/>
      <c r="K12" s="3"/>
      <c r="L12" s="3"/>
      <c r="M12" s="3"/>
      <c r="N12" s="3"/>
      <c r="O12" s="3"/>
    </row>
    <row r="13" spans="1:15" ht="15" customHeight="1" x14ac:dyDescent="0.2">
      <c r="A13" s="88">
        <v>4</v>
      </c>
      <c r="B13" s="89" t="s">
        <v>438</v>
      </c>
      <c r="C13" s="89" t="s">
        <v>433</v>
      </c>
      <c r="D13" s="89" t="s">
        <v>434</v>
      </c>
      <c r="E13" s="89" t="s">
        <v>439</v>
      </c>
      <c r="F13" s="89" t="s">
        <v>440</v>
      </c>
      <c r="G13" s="90" t="s">
        <v>441</v>
      </c>
      <c r="H13" s="3"/>
      <c r="I13" s="3"/>
      <c r="J13" s="3"/>
      <c r="K13" s="3"/>
      <c r="L13" s="3"/>
      <c r="M13" s="3"/>
      <c r="N13" s="3"/>
      <c r="O13" s="3"/>
    </row>
    <row r="14" spans="1:15" ht="21.75" customHeight="1" x14ac:dyDescent="0.2">
      <c r="A14" s="85">
        <v>5</v>
      </c>
      <c r="B14" s="86" t="s">
        <v>442</v>
      </c>
      <c r="C14" s="86" t="s">
        <v>443</v>
      </c>
      <c r="D14" s="86" t="s">
        <v>444</v>
      </c>
      <c r="E14" s="86" t="s">
        <v>445</v>
      </c>
      <c r="F14" s="86" t="s">
        <v>446</v>
      </c>
      <c r="G14" s="87" t="s">
        <v>447</v>
      </c>
      <c r="H14" s="3"/>
      <c r="I14" s="3"/>
      <c r="J14" s="3"/>
      <c r="K14" s="3"/>
      <c r="L14" s="3"/>
      <c r="M14" s="3"/>
      <c r="N14" s="3"/>
      <c r="O14" s="3"/>
    </row>
    <row r="15" spans="1:15" ht="15" customHeight="1" x14ac:dyDescent="0.2">
      <c r="A15" s="88">
        <v>6</v>
      </c>
      <c r="B15" s="89" t="s">
        <v>448</v>
      </c>
      <c r="C15" s="89" t="s">
        <v>449</v>
      </c>
      <c r="D15" s="89" t="s">
        <v>444</v>
      </c>
      <c r="E15" s="89" t="s">
        <v>450</v>
      </c>
      <c r="F15" s="89" t="s">
        <v>451</v>
      </c>
      <c r="G15" s="90" t="s">
        <v>452</v>
      </c>
      <c r="H15" s="3"/>
      <c r="I15" s="3"/>
      <c r="J15" s="3"/>
      <c r="K15" s="3"/>
      <c r="L15" s="3"/>
      <c r="M15" s="3"/>
      <c r="N15" s="3"/>
      <c r="O15" s="3"/>
    </row>
    <row r="16" spans="1:15" ht="15" customHeight="1" x14ac:dyDescent="0.2">
      <c r="A16" s="85">
        <v>7</v>
      </c>
      <c r="B16" s="86" t="s">
        <v>453</v>
      </c>
      <c r="C16" s="86" t="s">
        <v>454</v>
      </c>
      <c r="D16" s="86" t="s">
        <v>455</v>
      </c>
      <c r="E16" s="86" t="s">
        <v>456</v>
      </c>
      <c r="F16" s="86" t="s">
        <v>457</v>
      </c>
      <c r="G16" s="87" t="s">
        <v>458</v>
      </c>
      <c r="H16" s="3"/>
      <c r="I16" s="3"/>
      <c r="J16" s="3"/>
      <c r="K16" s="3"/>
      <c r="L16" s="3"/>
      <c r="M16" s="3"/>
      <c r="N16" s="3"/>
      <c r="O16" s="3"/>
    </row>
    <row r="17" spans="1:15" ht="15" customHeight="1" x14ac:dyDescent="0.2">
      <c r="A17" s="91">
        <v>8</v>
      </c>
      <c r="B17" s="92" t="s">
        <v>459</v>
      </c>
      <c r="C17" s="92" t="s">
        <v>460</v>
      </c>
      <c r="D17" s="92" t="s">
        <v>444</v>
      </c>
      <c r="E17" s="92" t="s">
        <v>461</v>
      </c>
      <c r="F17" s="92" t="s">
        <v>462</v>
      </c>
      <c r="G17" s="93" t="s">
        <v>463</v>
      </c>
      <c r="H17" s="3"/>
      <c r="I17" s="3"/>
      <c r="J17" s="3"/>
      <c r="K17" s="3"/>
      <c r="L17" s="3"/>
      <c r="M17" s="3"/>
      <c r="N17" s="3"/>
      <c r="O17" s="3"/>
    </row>
    <row r="18" spans="1:15" ht="15" customHeight="1" x14ac:dyDescent="0.2">
      <c r="A18" s="81"/>
      <c r="B18" s="81"/>
      <c r="C18" s="81"/>
      <c r="D18" s="81"/>
      <c r="E18" s="81"/>
      <c r="F18" s="81"/>
      <c r="G18" s="81"/>
      <c r="H18" s="3"/>
      <c r="I18" s="3"/>
      <c r="J18" s="3"/>
      <c r="K18" s="3"/>
      <c r="L18" s="3"/>
      <c r="M18" s="3"/>
      <c r="N18" s="3"/>
      <c r="O18" s="3"/>
    </row>
    <row r="19" spans="1:15" ht="24" customHeight="1" x14ac:dyDescent="0.2">
      <c r="A19" s="289" t="s">
        <v>464</v>
      </c>
      <c r="B19" s="289"/>
      <c r="C19" s="289"/>
      <c r="D19" s="289"/>
      <c r="E19" s="289"/>
      <c r="F19" s="289"/>
      <c r="G19" s="289"/>
      <c r="H19" s="3"/>
      <c r="I19" s="3"/>
      <c r="J19" s="3"/>
      <c r="K19" s="3"/>
      <c r="L19" s="3"/>
      <c r="M19" s="3"/>
      <c r="N19" s="3"/>
      <c r="O19" s="3"/>
    </row>
    <row r="20" spans="1:15" ht="15" customHeight="1" x14ac:dyDescent="0.2">
      <c r="A20" s="82" t="s">
        <v>413</v>
      </c>
      <c r="B20" s="83" t="s">
        <v>414</v>
      </c>
      <c r="C20" s="83" t="s">
        <v>415</v>
      </c>
      <c r="D20" s="83" t="s">
        <v>416</v>
      </c>
      <c r="E20" s="83" t="s">
        <v>417</v>
      </c>
      <c r="F20" s="83" t="s">
        <v>418</v>
      </c>
      <c r="G20" s="84" t="s">
        <v>419</v>
      </c>
      <c r="H20" s="3"/>
      <c r="I20" s="3"/>
      <c r="J20" s="3"/>
      <c r="K20" s="3"/>
      <c r="L20" s="3"/>
      <c r="M20" s="3"/>
      <c r="N20" s="3"/>
      <c r="O20" s="3"/>
    </row>
    <row r="21" spans="1:15" ht="21.75" customHeight="1" x14ac:dyDescent="0.2">
      <c r="A21" s="85">
        <v>1</v>
      </c>
      <c r="B21" s="86" t="s">
        <v>465</v>
      </c>
      <c r="C21" s="86" t="s">
        <v>466</v>
      </c>
      <c r="D21" s="86" t="s">
        <v>467</v>
      </c>
      <c r="E21" s="86" t="s">
        <v>468</v>
      </c>
      <c r="F21" s="86" t="s">
        <v>469</v>
      </c>
      <c r="G21" s="87" t="s">
        <v>470</v>
      </c>
      <c r="H21" s="3"/>
      <c r="I21" s="3"/>
      <c r="J21" s="3"/>
      <c r="K21" s="3"/>
      <c r="L21" s="3"/>
      <c r="M21" s="3"/>
      <c r="N21" s="3"/>
      <c r="O21" s="3"/>
    </row>
    <row r="22" spans="1:15" ht="21.75" customHeight="1" x14ac:dyDescent="0.2">
      <c r="A22" s="88">
        <v>2</v>
      </c>
      <c r="B22" s="89" t="s">
        <v>471</v>
      </c>
      <c r="C22" s="89" t="s">
        <v>433</v>
      </c>
      <c r="D22" s="89" t="s">
        <v>434</v>
      </c>
      <c r="E22" s="89" t="s">
        <v>472</v>
      </c>
      <c r="F22" s="89" t="s">
        <v>473</v>
      </c>
      <c r="G22" s="90" t="s">
        <v>474</v>
      </c>
      <c r="H22" s="3"/>
      <c r="I22" s="3"/>
      <c r="J22" s="3"/>
      <c r="K22" s="3"/>
      <c r="L22" s="3"/>
      <c r="M22" s="3"/>
      <c r="N22" s="3"/>
      <c r="O22" s="3"/>
    </row>
    <row r="23" spans="1:15" ht="21.75" customHeight="1" x14ac:dyDescent="0.2">
      <c r="A23" s="85">
        <v>3</v>
      </c>
      <c r="B23" s="86" t="s">
        <v>475</v>
      </c>
      <c r="C23" s="86" t="s">
        <v>443</v>
      </c>
      <c r="D23" s="86" t="s">
        <v>444</v>
      </c>
      <c r="E23" s="86" t="s">
        <v>445</v>
      </c>
      <c r="F23" s="86" t="s">
        <v>476</v>
      </c>
      <c r="G23" s="87" t="s">
        <v>477</v>
      </c>
      <c r="H23" s="3"/>
      <c r="I23" s="3"/>
      <c r="J23" s="3"/>
      <c r="K23" s="3"/>
      <c r="L23" s="3"/>
      <c r="M23" s="3"/>
      <c r="N23" s="3"/>
      <c r="O23" s="3"/>
    </row>
    <row r="24" spans="1:15" ht="21.75" customHeight="1" x14ac:dyDescent="0.2">
      <c r="A24" s="88">
        <v>4</v>
      </c>
      <c r="B24" s="89" t="s">
        <v>478</v>
      </c>
      <c r="C24" s="89" t="s">
        <v>449</v>
      </c>
      <c r="D24" s="89" t="s">
        <v>444</v>
      </c>
      <c r="E24" s="89" t="s">
        <v>450</v>
      </c>
      <c r="F24" s="89" t="s">
        <v>479</v>
      </c>
      <c r="G24" s="90" t="s">
        <v>480</v>
      </c>
      <c r="H24" s="3"/>
      <c r="I24" s="3"/>
      <c r="J24" s="3"/>
      <c r="K24" s="3"/>
      <c r="L24" s="3"/>
      <c r="M24" s="3"/>
      <c r="N24" s="3"/>
      <c r="O24" s="3"/>
    </row>
    <row r="25" spans="1:15" ht="21.75" customHeight="1" x14ac:dyDescent="0.2">
      <c r="A25" s="85">
        <v>5</v>
      </c>
      <c r="B25" s="86" t="s">
        <v>481</v>
      </c>
      <c r="C25" s="86" t="s">
        <v>482</v>
      </c>
      <c r="D25" s="86" t="s">
        <v>444</v>
      </c>
      <c r="E25" s="86" t="s">
        <v>483</v>
      </c>
      <c r="F25" s="86" t="s">
        <v>484</v>
      </c>
      <c r="G25" s="87" t="s">
        <v>485</v>
      </c>
      <c r="H25" s="3"/>
      <c r="I25" s="3"/>
      <c r="J25" s="3"/>
      <c r="K25" s="3"/>
      <c r="L25" s="3"/>
      <c r="M25" s="3"/>
      <c r="N25" s="3"/>
      <c r="O25" s="3"/>
    </row>
    <row r="26" spans="1:15" ht="21.75" customHeight="1" x14ac:dyDescent="0.2">
      <c r="A26" s="88">
        <v>6</v>
      </c>
      <c r="B26" s="89" t="s">
        <v>486</v>
      </c>
      <c r="C26" s="89" t="s">
        <v>487</v>
      </c>
      <c r="D26" s="89" t="s">
        <v>444</v>
      </c>
      <c r="E26" s="89" t="s">
        <v>488</v>
      </c>
      <c r="F26" s="89" t="s">
        <v>489</v>
      </c>
      <c r="G26" s="90" t="s">
        <v>490</v>
      </c>
      <c r="H26" s="3"/>
      <c r="I26" s="3"/>
      <c r="J26" s="3"/>
      <c r="K26" s="3"/>
      <c r="L26" s="3"/>
      <c r="M26" s="3"/>
      <c r="N26" s="3"/>
      <c r="O26" s="3"/>
    </row>
    <row r="27" spans="1:15" ht="21.75" customHeight="1" x14ac:dyDescent="0.2">
      <c r="A27" s="123">
        <v>7</v>
      </c>
      <c r="B27" s="124" t="s">
        <v>491</v>
      </c>
      <c r="C27" s="124" t="s">
        <v>492</v>
      </c>
      <c r="D27" s="124" t="s">
        <v>467</v>
      </c>
      <c r="E27" s="124" t="s">
        <v>493</v>
      </c>
      <c r="F27" s="124" t="s">
        <v>494</v>
      </c>
      <c r="G27" s="125" t="s">
        <v>495</v>
      </c>
      <c r="H27" s="3"/>
      <c r="I27" s="3"/>
      <c r="J27" s="3"/>
      <c r="K27" s="3"/>
      <c r="L27" s="3"/>
      <c r="M27" s="3"/>
      <c r="N27" s="3"/>
      <c r="O27" s="3"/>
    </row>
    <row r="28" spans="1:15" ht="15" customHeight="1" x14ac:dyDescent="0.2">
      <c r="A28" s="81"/>
      <c r="B28" s="81"/>
      <c r="C28" s="81"/>
      <c r="D28" s="81"/>
      <c r="E28" s="81"/>
      <c r="F28" s="81"/>
      <c r="G28" s="81"/>
      <c r="H28" s="3"/>
      <c r="I28" s="3"/>
      <c r="J28" s="3"/>
      <c r="K28" s="3"/>
      <c r="L28" s="3"/>
      <c r="M28" s="3"/>
      <c r="N28" s="3"/>
      <c r="O28" s="3"/>
    </row>
    <row r="29" spans="1:15" ht="24" customHeight="1" x14ac:dyDescent="0.2">
      <c r="A29" s="289" t="s">
        <v>496</v>
      </c>
      <c r="B29" s="289"/>
      <c r="C29" s="289"/>
      <c r="D29" s="289"/>
      <c r="E29" s="289"/>
      <c r="F29" s="289"/>
      <c r="G29" s="289"/>
      <c r="H29" s="3"/>
      <c r="I29" s="3"/>
      <c r="J29" s="3"/>
      <c r="K29" s="3"/>
      <c r="L29" s="3"/>
      <c r="M29" s="3"/>
      <c r="N29" s="3"/>
      <c r="O29" s="3"/>
    </row>
    <row r="30" spans="1:15" ht="15" customHeight="1" x14ac:dyDescent="0.2">
      <c r="A30" s="82" t="s">
        <v>413</v>
      </c>
      <c r="B30" s="83" t="s">
        <v>414</v>
      </c>
      <c r="C30" s="83" t="s">
        <v>416</v>
      </c>
      <c r="D30" s="83" t="s">
        <v>497</v>
      </c>
      <c r="E30" s="83" t="s">
        <v>498</v>
      </c>
      <c r="F30" s="84" t="s">
        <v>499</v>
      </c>
      <c r="G30" s="126"/>
      <c r="H30" s="3"/>
      <c r="I30" s="3"/>
      <c r="J30" s="3"/>
      <c r="K30" s="3"/>
      <c r="L30" s="3"/>
      <c r="M30" s="3"/>
      <c r="N30" s="3"/>
      <c r="O30" s="3"/>
    </row>
    <row r="31" spans="1:15" ht="15" customHeight="1" x14ac:dyDescent="0.2">
      <c r="A31" s="85">
        <v>1</v>
      </c>
      <c r="B31" s="86" t="s">
        <v>500</v>
      </c>
      <c r="C31" s="86" t="s">
        <v>501</v>
      </c>
      <c r="D31" s="86" t="s">
        <v>502</v>
      </c>
      <c r="E31" s="86" t="s">
        <v>503</v>
      </c>
      <c r="F31" s="87" t="s">
        <v>263</v>
      </c>
      <c r="G31" s="86"/>
      <c r="H31" s="3"/>
      <c r="I31" s="3"/>
      <c r="J31" s="3"/>
      <c r="K31" s="3"/>
      <c r="L31" s="3"/>
      <c r="M31" s="3"/>
      <c r="N31" s="3"/>
      <c r="O31" s="3"/>
    </row>
    <row r="32" spans="1:15" ht="15" customHeight="1" x14ac:dyDescent="0.2">
      <c r="A32" s="88">
        <v>2</v>
      </c>
      <c r="B32" s="89" t="s">
        <v>504</v>
      </c>
      <c r="C32" s="89" t="s">
        <v>505</v>
      </c>
      <c r="D32" s="89" t="s">
        <v>506</v>
      </c>
      <c r="E32" s="89" t="s">
        <v>507</v>
      </c>
      <c r="F32" s="90" t="s">
        <v>508</v>
      </c>
      <c r="G32" s="89"/>
      <c r="H32" s="3"/>
      <c r="I32" s="3"/>
      <c r="J32" s="3"/>
      <c r="K32" s="3"/>
      <c r="L32" s="3"/>
      <c r="M32" s="3"/>
      <c r="N32" s="3"/>
      <c r="O32" s="3"/>
    </row>
    <row r="33" spans="1:15" ht="21.75" customHeight="1" x14ac:dyDescent="0.2">
      <c r="A33" s="85">
        <v>3</v>
      </c>
      <c r="B33" s="86" t="s">
        <v>509</v>
      </c>
      <c r="C33" s="86" t="s">
        <v>510</v>
      </c>
      <c r="D33" s="86" t="s">
        <v>511</v>
      </c>
      <c r="E33" s="86" t="s">
        <v>512</v>
      </c>
      <c r="F33" s="87" t="s">
        <v>513</v>
      </c>
      <c r="G33" s="86"/>
      <c r="H33" s="3"/>
      <c r="I33" s="3"/>
      <c r="J33" s="3"/>
      <c r="K33" s="3"/>
      <c r="L33" s="3"/>
      <c r="M33" s="3"/>
      <c r="N33" s="3"/>
      <c r="O33" s="3"/>
    </row>
    <row r="34" spans="1:15" ht="21.75" customHeight="1" x14ac:dyDescent="0.2">
      <c r="A34" s="88">
        <v>4</v>
      </c>
      <c r="B34" s="89" t="s">
        <v>514</v>
      </c>
      <c r="C34" s="89" t="s">
        <v>510</v>
      </c>
      <c r="D34" s="89" t="s">
        <v>515</v>
      </c>
      <c r="E34" s="89" t="s">
        <v>516</v>
      </c>
      <c r="F34" s="90" t="s">
        <v>517</v>
      </c>
      <c r="G34" s="89"/>
      <c r="H34" s="3"/>
      <c r="I34" s="3"/>
      <c r="J34" s="3"/>
      <c r="K34" s="3"/>
      <c r="L34" s="3"/>
      <c r="M34" s="3"/>
      <c r="N34" s="3"/>
      <c r="O34" s="3"/>
    </row>
    <row r="35" spans="1:15" ht="21.75" customHeight="1" x14ac:dyDescent="0.2">
      <c r="A35" s="85">
        <v>5</v>
      </c>
      <c r="B35" s="86" t="s">
        <v>518</v>
      </c>
      <c r="C35" s="86" t="s">
        <v>519</v>
      </c>
      <c r="D35" s="86" t="s">
        <v>520</v>
      </c>
      <c r="E35" s="86" t="s">
        <v>521</v>
      </c>
      <c r="F35" s="87" t="s">
        <v>522</v>
      </c>
      <c r="G35" s="86"/>
      <c r="H35" s="3"/>
      <c r="I35" s="3"/>
      <c r="J35" s="3"/>
      <c r="K35" s="3"/>
      <c r="L35" s="3"/>
      <c r="M35" s="3"/>
      <c r="N35" s="3"/>
      <c r="O35" s="3"/>
    </row>
    <row r="36" spans="1:15" ht="15" customHeight="1" x14ac:dyDescent="0.2">
      <c r="A36" s="91">
        <v>6</v>
      </c>
      <c r="B36" s="92" t="s">
        <v>523</v>
      </c>
      <c r="C36" s="92" t="s">
        <v>524</v>
      </c>
      <c r="D36" s="92" t="s">
        <v>525</v>
      </c>
      <c r="E36" s="92" t="s">
        <v>526</v>
      </c>
      <c r="F36" s="93" t="s">
        <v>263</v>
      </c>
      <c r="G36" s="89"/>
      <c r="H36" s="3"/>
      <c r="I36" s="3"/>
      <c r="J36" s="3"/>
      <c r="K36" s="3"/>
      <c r="L36" s="3"/>
      <c r="M36" s="3"/>
      <c r="N36" s="3"/>
      <c r="O36" s="3"/>
    </row>
    <row r="37" spans="1:15" ht="15" customHeight="1" x14ac:dyDescent="0.2">
      <c r="A37" s="81"/>
      <c r="B37" s="81"/>
      <c r="C37" s="81"/>
      <c r="D37" s="81"/>
      <c r="E37" s="81"/>
      <c r="F37" s="81"/>
      <c r="G37" s="81"/>
      <c r="H37" s="3"/>
      <c r="I37" s="3"/>
      <c r="J37" s="3"/>
      <c r="K37" s="3"/>
      <c r="L37" s="3"/>
      <c r="M37" s="3"/>
      <c r="N37" s="3"/>
      <c r="O37" s="3"/>
    </row>
    <row r="38" spans="1:15" ht="24" customHeight="1" x14ac:dyDescent="0.2">
      <c r="A38" s="289" t="s">
        <v>527</v>
      </c>
      <c r="B38" s="289"/>
      <c r="C38" s="289"/>
      <c r="D38" s="289"/>
      <c r="E38" s="289"/>
      <c r="F38" s="289"/>
      <c r="G38" s="289"/>
      <c r="H38" s="3"/>
      <c r="I38" s="3"/>
      <c r="J38" s="3"/>
      <c r="K38" s="3"/>
      <c r="L38" s="3"/>
      <c r="M38" s="3"/>
      <c r="N38" s="3"/>
      <c r="O38" s="3"/>
    </row>
    <row r="39" spans="1:15" ht="15" customHeight="1" x14ac:dyDescent="0.2">
      <c r="A39" s="82" t="s">
        <v>413</v>
      </c>
      <c r="B39" s="83" t="s">
        <v>415</v>
      </c>
      <c r="C39" s="83" t="s">
        <v>528</v>
      </c>
      <c r="D39" s="83" t="s">
        <v>529</v>
      </c>
      <c r="E39" s="83" t="s">
        <v>530</v>
      </c>
      <c r="F39" s="83" t="s">
        <v>531</v>
      </c>
      <c r="G39" s="84" t="s">
        <v>532</v>
      </c>
      <c r="H39" s="3"/>
      <c r="I39" s="3"/>
      <c r="J39" s="3"/>
      <c r="K39" s="3"/>
      <c r="L39" s="3"/>
      <c r="M39" s="3"/>
      <c r="N39" s="3"/>
      <c r="O39" s="3"/>
    </row>
    <row r="40" spans="1:15" ht="15" customHeight="1" x14ac:dyDescent="0.2">
      <c r="A40" s="85">
        <v>1</v>
      </c>
      <c r="B40" s="86" t="s">
        <v>433</v>
      </c>
      <c r="C40" s="86" t="s">
        <v>533</v>
      </c>
      <c r="D40" s="86" t="s">
        <v>534</v>
      </c>
      <c r="E40" s="86" t="s">
        <v>535</v>
      </c>
      <c r="F40" s="86" t="s">
        <v>536</v>
      </c>
      <c r="G40" s="87" t="s">
        <v>537</v>
      </c>
      <c r="H40" s="3"/>
      <c r="I40" s="3"/>
      <c r="J40" s="3"/>
      <c r="K40" s="3"/>
      <c r="L40" s="3"/>
      <c r="M40" s="3"/>
      <c r="N40" s="3"/>
      <c r="O40" s="3"/>
    </row>
    <row r="41" spans="1:15" ht="15" customHeight="1" x14ac:dyDescent="0.2">
      <c r="A41" s="88">
        <v>2</v>
      </c>
      <c r="B41" s="89" t="s">
        <v>538</v>
      </c>
      <c r="C41" s="89" t="s">
        <v>533</v>
      </c>
      <c r="D41" s="89" t="s">
        <v>539</v>
      </c>
      <c r="E41" s="89" t="s">
        <v>540</v>
      </c>
      <c r="F41" s="89" t="s">
        <v>244</v>
      </c>
      <c r="G41" s="90" t="s">
        <v>541</v>
      </c>
      <c r="H41" s="3"/>
      <c r="I41" s="3"/>
      <c r="J41" s="3"/>
      <c r="K41" s="3"/>
      <c r="L41" s="3"/>
      <c r="M41" s="3"/>
      <c r="N41" s="3"/>
      <c r="O41" s="3"/>
    </row>
    <row r="42" spans="1:15" ht="15" customHeight="1" x14ac:dyDescent="0.2">
      <c r="A42" s="85">
        <v>3</v>
      </c>
      <c r="B42" s="86" t="s">
        <v>542</v>
      </c>
      <c r="C42" s="86" t="s">
        <v>533</v>
      </c>
      <c r="D42" s="86" t="s">
        <v>543</v>
      </c>
      <c r="E42" s="86" t="s">
        <v>540</v>
      </c>
      <c r="F42" s="86" t="s">
        <v>244</v>
      </c>
      <c r="G42" s="87" t="s">
        <v>544</v>
      </c>
      <c r="H42" s="3"/>
      <c r="I42" s="3"/>
      <c r="J42" s="3"/>
      <c r="K42" s="3"/>
      <c r="L42" s="3"/>
      <c r="M42" s="3"/>
      <c r="N42" s="3"/>
      <c r="O42" s="3"/>
    </row>
    <row r="43" spans="1:15" ht="15" customHeight="1" x14ac:dyDescent="0.2">
      <c r="A43" s="88">
        <v>4</v>
      </c>
      <c r="B43" s="89" t="s">
        <v>454</v>
      </c>
      <c r="C43" s="89" t="s">
        <v>545</v>
      </c>
      <c r="D43" s="89" t="s">
        <v>455</v>
      </c>
      <c r="E43" s="89" t="s">
        <v>546</v>
      </c>
      <c r="F43" s="89" t="s">
        <v>250</v>
      </c>
      <c r="G43" s="90" t="s">
        <v>547</v>
      </c>
      <c r="H43" s="3"/>
      <c r="I43" s="3"/>
      <c r="J43" s="3"/>
      <c r="K43" s="3"/>
      <c r="L43" s="3"/>
      <c r="M43" s="3"/>
      <c r="N43" s="3"/>
      <c r="O43" s="3"/>
    </row>
    <row r="44" spans="1:15" ht="15" customHeight="1" x14ac:dyDescent="0.2">
      <c r="A44" s="85">
        <v>5</v>
      </c>
      <c r="B44" s="86" t="s">
        <v>449</v>
      </c>
      <c r="C44" s="86" t="s">
        <v>548</v>
      </c>
      <c r="D44" s="86" t="s">
        <v>549</v>
      </c>
      <c r="E44" s="86" t="s">
        <v>550</v>
      </c>
      <c r="F44" s="86" t="s">
        <v>536</v>
      </c>
      <c r="G44" s="87" t="s">
        <v>551</v>
      </c>
      <c r="H44" s="3"/>
      <c r="I44" s="3"/>
      <c r="J44" s="3"/>
      <c r="K44" s="3"/>
      <c r="L44" s="3"/>
      <c r="M44" s="3"/>
      <c r="N44" s="3"/>
      <c r="O44" s="3"/>
    </row>
    <row r="45" spans="1:15" ht="15" customHeight="1" x14ac:dyDescent="0.2">
      <c r="A45" s="88">
        <v>6</v>
      </c>
      <c r="B45" s="89" t="s">
        <v>552</v>
      </c>
      <c r="C45" s="89" t="s">
        <v>548</v>
      </c>
      <c r="D45" s="89" t="s">
        <v>553</v>
      </c>
      <c r="E45" s="89" t="s">
        <v>554</v>
      </c>
      <c r="F45" s="89" t="s">
        <v>250</v>
      </c>
      <c r="G45" s="90" t="s">
        <v>555</v>
      </c>
      <c r="H45" s="3"/>
      <c r="I45" s="3"/>
      <c r="J45" s="3"/>
      <c r="K45" s="3"/>
      <c r="L45" s="3"/>
      <c r="M45" s="3"/>
      <c r="N45" s="3"/>
      <c r="O45" s="3"/>
    </row>
    <row r="46" spans="1:15" ht="15" customHeight="1" x14ac:dyDescent="0.2">
      <c r="A46" s="85">
        <v>7</v>
      </c>
      <c r="B46" s="86" t="s">
        <v>556</v>
      </c>
      <c r="C46" s="86" t="s">
        <v>557</v>
      </c>
      <c r="D46" s="86" t="s">
        <v>558</v>
      </c>
      <c r="E46" s="86" t="s">
        <v>559</v>
      </c>
      <c r="F46" s="86" t="s">
        <v>262</v>
      </c>
      <c r="G46" s="87" t="s">
        <v>560</v>
      </c>
      <c r="H46" s="3"/>
      <c r="I46" s="3"/>
      <c r="J46" s="3"/>
      <c r="K46" s="3"/>
      <c r="L46" s="3"/>
      <c r="M46" s="3"/>
      <c r="N46" s="3"/>
      <c r="O46" s="3"/>
    </row>
    <row r="47" spans="1:15" ht="15" customHeight="1" x14ac:dyDescent="0.2">
      <c r="A47" s="88">
        <v>8</v>
      </c>
      <c r="B47" s="89" t="s">
        <v>561</v>
      </c>
      <c r="C47" s="89" t="s">
        <v>562</v>
      </c>
      <c r="D47" s="89" t="s">
        <v>563</v>
      </c>
      <c r="E47" s="89" t="s">
        <v>546</v>
      </c>
      <c r="F47" s="89" t="s">
        <v>536</v>
      </c>
      <c r="G47" s="90" t="s">
        <v>564</v>
      </c>
      <c r="H47" s="3"/>
      <c r="I47" s="3"/>
      <c r="J47" s="3"/>
      <c r="K47" s="3"/>
      <c r="L47" s="3"/>
      <c r="M47" s="3"/>
      <c r="N47" s="3"/>
      <c r="O47" s="3"/>
    </row>
    <row r="48" spans="1:15" ht="15" customHeight="1" x14ac:dyDescent="0.2">
      <c r="A48" s="85">
        <v>9</v>
      </c>
      <c r="B48" s="86" t="s">
        <v>565</v>
      </c>
      <c r="C48" s="86" t="s">
        <v>562</v>
      </c>
      <c r="D48" s="86" t="s">
        <v>566</v>
      </c>
      <c r="E48" s="86" t="s">
        <v>550</v>
      </c>
      <c r="F48" s="86" t="s">
        <v>250</v>
      </c>
      <c r="G48" s="87" t="s">
        <v>567</v>
      </c>
      <c r="H48" s="3"/>
      <c r="I48" s="3"/>
      <c r="J48" s="3"/>
      <c r="K48" s="3"/>
      <c r="L48" s="3"/>
      <c r="M48" s="3"/>
      <c r="N48" s="3"/>
      <c r="O48" s="3"/>
    </row>
    <row r="49" spans="1:15" ht="15" customHeight="1" x14ac:dyDescent="0.2">
      <c r="A49" s="88">
        <v>10</v>
      </c>
      <c r="B49" s="89" t="s">
        <v>568</v>
      </c>
      <c r="C49" s="89" t="s">
        <v>562</v>
      </c>
      <c r="D49" s="89" t="s">
        <v>563</v>
      </c>
      <c r="E49" s="89" t="s">
        <v>569</v>
      </c>
      <c r="F49" s="89" t="s">
        <v>262</v>
      </c>
      <c r="G49" s="90" t="s">
        <v>570</v>
      </c>
      <c r="H49" s="3"/>
      <c r="I49" s="3"/>
      <c r="J49" s="3"/>
      <c r="K49" s="3"/>
      <c r="L49" s="3"/>
      <c r="M49" s="3"/>
      <c r="N49" s="3"/>
      <c r="O49" s="3"/>
    </row>
    <row r="50" spans="1:15" ht="15" customHeight="1" x14ac:dyDescent="0.2">
      <c r="A50" s="85">
        <v>11</v>
      </c>
      <c r="B50" s="86" t="s">
        <v>571</v>
      </c>
      <c r="C50" s="86" t="s">
        <v>572</v>
      </c>
      <c r="D50" s="86" t="s">
        <v>524</v>
      </c>
      <c r="E50" s="86" t="s">
        <v>573</v>
      </c>
      <c r="F50" s="86" t="s">
        <v>262</v>
      </c>
      <c r="G50" s="87" t="s">
        <v>574</v>
      </c>
      <c r="H50" s="3"/>
      <c r="I50" s="3"/>
      <c r="J50" s="3"/>
      <c r="K50" s="3"/>
      <c r="L50" s="3"/>
      <c r="M50" s="3"/>
      <c r="N50" s="3"/>
      <c r="O50" s="3"/>
    </row>
    <row r="51" spans="1:15" ht="15" customHeight="1" x14ac:dyDescent="0.2">
      <c r="A51" s="91">
        <v>12</v>
      </c>
      <c r="B51" s="92" t="s">
        <v>427</v>
      </c>
      <c r="C51" s="92" t="s">
        <v>572</v>
      </c>
      <c r="D51" s="92" t="s">
        <v>575</v>
      </c>
      <c r="E51" s="92" t="s">
        <v>576</v>
      </c>
      <c r="F51" s="92" t="s">
        <v>250</v>
      </c>
      <c r="G51" s="93" t="s">
        <v>577</v>
      </c>
      <c r="H51" s="3"/>
      <c r="I51" s="3"/>
      <c r="J51" s="3"/>
      <c r="K51" s="3"/>
      <c r="L51" s="3"/>
      <c r="M51" s="3"/>
      <c r="N51" s="3"/>
      <c r="O51" s="3"/>
    </row>
  </sheetData>
  <mergeCells count="6">
    <mergeCell ref="A38:G38"/>
    <mergeCell ref="A1:G1"/>
    <mergeCell ref="A3:G3"/>
    <mergeCell ref="A8:G8"/>
    <mergeCell ref="A19:G19"/>
    <mergeCell ref="A29:G29"/>
  </mergeCells>
  <dataValidations count="3">
    <dataValidation type="list" allowBlank="1" sqref="C40:C52" xr:uid="{00000000-0002-0000-0400-000000000000}">
      <formula1>"Produit cloud,Produit edge,Produit cloud+edge,Infrastructure,Service,Infra cloud,Infra edge,Ops"</formula1>
      <formula2>0</formula2>
    </dataValidation>
    <dataValidation type="list" allowBlank="1" sqref="D10:D17 D21:D27" xr:uid="{00000000-0002-0000-0400-000001000000}">
      <formula1>"Commercial,Technicien,Opérateur,Annonceur,Staff club,Automatisé,PO (Gwenvael),Tech Lead,Engineering,DevOps,Support,Admin,Opérateurs"</formula1>
      <formula2>0</formula2>
    </dataValidation>
    <dataValidation type="list" allowBlank="1" sqref="C31:C36" xr:uid="{00000000-0002-0000-0400-000002000000}">
      <formula1>"PO (Gwenvael),Tech Lead,Engineering,DevOps,Support"</formula1>
      <formula2>0</formula2>
    </dataValidation>
  </dataValidations>
  <hyperlinks>
    <hyperlink ref="A1" location="Dashboard!A1" display="NEOPRO — Value Streams &amp; Flux de Valeur" xr:uid="{00000000-0004-0000-0400-000000000000}"/>
    <hyperlink ref="O2" r:id="rId1" location="Dashboard!A1" xr:uid="{00000000-0004-0000-0400-000001000000}"/>
  </hyperlinks>
  <pageMargins left="0.75" right="0.75" top="1" bottom="1" header="0.511811023622047" footer="0.511811023622047"/>
  <pageSetup paperSize="9" orientation="portrait" horizontalDpi="300" verticalDpi="300"/>
  <tableParts count="5">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4"/>
  <sheetViews>
    <sheetView zoomScale="163" zoomScaleNormal="106" workbookViewId="0">
      <pane ySplit="3" topLeftCell="A4" activePane="bottomLeft" state="frozen"/>
      <selection pane="bottomLeft" activeCell="B6" sqref="B6"/>
    </sheetView>
  </sheetViews>
  <sheetFormatPr baseColWidth="10" defaultColWidth="8.6640625" defaultRowHeight="15" customHeight="1" x14ac:dyDescent="0.2"/>
  <cols>
    <col min="1" max="1" width="10" customWidth="1"/>
    <col min="2" max="2" width="41.6640625" customWidth="1"/>
    <col min="3" max="4" width="30" customWidth="1"/>
    <col min="5" max="5" width="10" customWidth="1"/>
    <col min="6" max="6" width="11.6640625" customWidth="1"/>
    <col min="7" max="7" width="13.33203125" customWidth="1"/>
    <col min="8" max="9" width="15" customWidth="1"/>
    <col min="10" max="11" width="16.1640625" customWidth="1"/>
    <col min="12" max="12" width="10" customWidth="1"/>
  </cols>
  <sheetData>
    <row r="1" spans="1:12" ht="15" customHeight="1" x14ac:dyDescent="0.2">
      <c r="A1" s="292" t="s">
        <v>70</v>
      </c>
      <c r="B1" s="292"/>
      <c r="C1" s="292"/>
      <c r="D1" s="292"/>
      <c r="E1" s="292"/>
      <c r="F1" s="292"/>
      <c r="G1" s="292"/>
      <c r="H1" s="292"/>
      <c r="I1" s="81"/>
      <c r="J1" s="3"/>
      <c r="K1" s="3"/>
      <c r="L1" s="3"/>
    </row>
    <row r="2" spans="1:12" ht="15" customHeight="1" x14ac:dyDescent="0.2">
      <c r="A2" s="81"/>
      <c r="B2" s="81"/>
      <c r="C2" s="81"/>
      <c r="D2" s="81"/>
      <c r="E2" s="81"/>
      <c r="F2" s="81"/>
      <c r="G2" s="81"/>
      <c r="H2" s="81"/>
      <c r="I2" s="81"/>
      <c r="J2" s="3"/>
      <c r="K2" s="3"/>
      <c r="L2" s="3"/>
    </row>
    <row r="3" spans="1:12" ht="27.75" customHeight="1" x14ac:dyDescent="0.2">
      <c r="A3" s="127" t="s">
        <v>578</v>
      </c>
      <c r="B3" s="127" t="s">
        <v>579</v>
      </c>
      <c r="C3" s="127" t="s">
        <v>580</v>
      </c>
      <c r="D3" s="127" t="s">
        <v>581</v>
      </c>
      <c r="E3" s="127" t="s">
        <v>156</v>
      </c>
      <c r="F3" s="127" t="s">
        <v>27</v>
      </c>
      <c r="G3" s="127" t="s">
        <v>31</v>
      </c>
      <c r="H3" s="127" t="s">
        <v>582</v>
      </c>
      <c r="I3" s="127" t="s">
        <v>583</v>
      </c>
      <c r="J3" s="127" t="s">
        <v>584</v>
      </c>
      <c r="K3" s="127" t="s">
        <v>585</v>
      </c>
      <c r="L3" s="127" t="s">
        <v>586</v>
      </c>
    </row>
    <row r="4" spans="1:12" ht="24" customHeight="1" x14ac:dyDescent="0.2">
      <c r="A4" s="128" t="s">
        <v>592</v>
      </c>
      <c r="B4" s="129" t="s">
        <v>593</v>
      </c>
      <c r="C4" s="130" t="s">
        <v>589</v>
      </c>
      <c r="D4" s="130" t="s">
        <v>590</v>
      </c>
      <c r="E4" s="131">
        <f>(J4+K4)/L4</f>
        <v>13</v>
      </c>
      <c r="F4" s="130" t="s">
        <v>32</v>
      </c>
      <c r="G4" s="132" t="s">
        <v>19</v>
      </c>
      <c r="H4" s="131">
        <f>SUMIF('Features &amp; US'!A:A,A3,'Features &amp; US'!E:E)</f>
        <v>0</v>
      </c>
      <c r="I4" s="265" t="s">
        <v>594</v>
      </c>
      <c r="J4" s="263">
        <v>5</v>
      </c>
      <c r="K4" s="263">
        <v>8</v>
      </c>
      <c r="L4" s="263">
        <v>1</v>
      </c>
    </row>
    <row r="5" spans="1:12" ht="24" customHeight="1" x14ac:dyDescent="0.2">
      <c r="A5" s="128" t="s">
        <v>608</v>
      </c>
      <c r="B5" s="129" t="s">
        <v>609</v>
      </c>
      <c r="C5" s="130" t="s">
        <v>589</v>
      </c>
      <c r="D5" s="130" t="s">
        <v>590</v>
      </c>
      <c r="E5" s="131">
        <f t="shared" ref="E5:E24" si="0">(J5+K5)/L5</f>
        <v>10</v>
      </c>
      <c r="F5" s="130" t="s">
        <v>32</v>
      </c>
      <c r="G5" s="132" t="s">
        <v>19</v>
      </c>
      <c r="H5" s="131">
        <f>SUMIF('Features &amp; US'!A:A,A1,'Features &amp; US'!E:E)</f>
        <v>0</v>
      </c>
      <c r="I5" s="265" t="s">
        <v>610</v>
      </c>
      <c r="J5" s="263">
        <v>5</v>
      </c>
      <c r="K5" s="263">
        <v>5</v>
      </c>
      <c r="L5" s="263">
        <v>1</v>
      </c>
    </row>
    <row r="6" spans="1:12" ht="24" customHeight="1" x14ac:dyDescent="0.2">
      <c r="A6" s="128" t="s">
        <v>587</v>
      </c>
      <c r="B6" s="129" t="s">
        <v>588</v>
      </c>
      <c r="C6" s="130" t="s">
        <v>589</v>
      </c>
      <c r="D6" s="130" t="s">
        <v>590</v>
      </c>
      <c r="E6" s="131">
        <f t="shared" si="0"/>
        <v>21</v>
      </c>
      <c r="F6" s="130" t="s">
        <v>32</v>
      </c>
      <c r="G6" s="132" t="s">
        <v>19</v>
      </c>
      <c r="H6" s="131">
        <f>SUMIF('Features &amp; US'!A:A,A8,'Features &amp; US'!E:E)</f>
        <v>14</v>
      </c>
      <c r="I6" s="265" t="s">
        <v>591</v>
      </c>
      <c r="J6" s="263">
        <v>8</v>
      </c>
      <c r="K6" s="263">
        <v>13</v>
      </c>
      <c r="L6" s="263">
        <v>1</v>
      </c>
    </row>
    <row r="7" spans="1:12" ht="24" customHeight="1" x14ac:dyDescent="0.2">
      <c r="A7" s="133" t="s">
        <v>611</v>
      </c>
      <c r="B7" s="134" t="s">
        <v>612</v>
      </c>
      <c r="C7" s="135" t="s">
        <v>602</v>
      </c>
      <c r="D7" s="135" t="s">
        <v>613</v>
      </c>
      <c r="E7" s="131">
        <f t="shared" si="0"/>
        <v>8</v>
      </c>
      <c r="F7" s="135" t="s">
        <v>32</v>
      </c>
      <c r="G7" s="137" t="s">
        <v>16</v>
      </c>
      <c r="H7" s="136">
        <f>SUMIF('Features &amp; US'!A:A,A4,'Features &amp; US'!E:E)</f>
        <v>19</v>
      </c>
      <c r="I7" s="266" t="s">
        <v>614</v>
      </c>
      <c r="J7" s="264">
        <v>3</v>
      </c>
      <c r="K7" s="264">
        <v>5</v>
      </c>
      <c r="L7" s="264">
        <v>1</v>
      </c>
    </row>
    <row r="8" spans="1:12" ht="24" customHeight="1" x14ac:dyDescent="0.2">
      <c r="A8" s="128" t="s">
        <v>624</v>
      </c>
      <c r="B8" s="129" t="s">
        <v>625</v>
      </c>
      <c r="C8" s="130" t="s">
        <v>589</v>
      </c>
      <c r="D8" s="130" t="s">
        <v>613</v>
      </c>
      <c r="E8" s="131">
        <f t="shared" si="0"/>
        <v>5</v>
      </c>
      <c r="F8" s="130" t="s">
        <v>36</v>
      </c>
      <c r="G8" s="132" t="s">
        <v>19</v>
      </c>
      <c r="H8" s="131">
        <f>SUMIF('Features &amp; US'!A:A,A7,'Features &amp; US'!E:E)</f>
        <v>12</v>
      </c>
      <c r="I8" s="265" t="s">
        <v>626</v>
      </c>
      <c r="J8" s="263">
        <v>5</v>
      </c>
      <c r="K8" s="263">
        <v>5</v>
      </c>
      <c r="L8" s="263">
        <v>2</v>
      </c>
    </row>
    <row r="9" spans="1:12" ht="24" customHeight="1" x14ac:dyDescent="0.2">
      <c r="A9" s="133" t="s">
        <v>615</v>
      </c>
      <c r="B9" s="134" t="s">
        <v>616</v>
      </c>
      <c r="C9" s="135" t="s">
        <v>602</v>
      </c>
      <c r="D9" s="135" t="s">
        <v>603</v>
      </c>
      <c r="E9" s="131">
        <f t="shared" si="0"/>
        <v>6.5</v>
      </c>
      <c r="F9" s="135" t="s">
        <v>32</v>
      </c>
      <c r="G9" s="137" t="s">
        <v>19</v>
      </c>
      <c r="H9" s="136">
        <f>SUMIF('Features &amp; US'!A:A,A6,'Features &amp; US'!E:E)</f>
        <v>13</v>
      </c>
      <c r="I9" s="266" t="s">
        <v>617</v>
      </c>
      <c r="J9" s="264">
        <v>5</v>
      </c>
      <c r="K9" s="264">
        <v>8</v>
      </c>
      <c r="L9" s="264">
        <v>2</v>
      </c>
    </row>
    <row r="10" spans="1:12" ht="24" customHeight="1" x14ac:dyDescent="0.2">
      <c r="A10" s="128" t="s">
        <v>600</v>
      </c>
      <c r="B10" s="129" t="s">
        <v>601</v>
      </c>
      <c r="C10" s="130" t="s">
        <v>602</v>
      </c>
      <c r="D10" s="130" t="s">
        <v>603</v>
      </c>
      <c r="E10" s="131">
        <f t="shared" si="0"/>
        <v>10.5</v>
      </c>
      <c r="F10" s="130" t="s">
        <v>32</v>
      </c>
      <c r="G10" s="132" t="s">
        <v>15</v>
      </c>
      <c r="H10" s="131">
        <f>SUMIF('Features &amp; US'!A:A,A12,'Features &amp; US'!E:E)</f>
        <v>20</v>
      </c>
      <c r="I10" s="265" t="s">
        <v>604</v>
      </c>
      <c r="J10" s="263">
        <v>8</v>
      </c>
      <c r="K10" s="263">
        <v>13</v>
      </c>
      <c r="L10" s="263">
        <v>2</v>
      </c>
    </row>
    <row r="11" spans="1:12" ht="24" customHeight="1" x14ac:dyDescent="0.2">
      <c r="A11" s="133" t="s">
        <v>595</v>
      </c>
      <c r="B11" s="134" t="s">
        <v>596</v>
      </c>
      <c r="C11" s="135" t="s">
        <v>597</v>
      </c>
      <c r="D11" s="135" t="s">
        <v>598</v>
      </c>
      <c r="E11" s="131">
        <f t="shared" si="0"/>
        <v>13</v>
      </c>
      <c r="F11" s="135" t="s">
        <v>32</v>
      </c>
      <c r="G11" s="137" t="s">
        <v>16</v>
      </c>
      <c r="H11" s="136">
        <f>SUMIF('Features &amp; US'!A:A,A15,'Features &amp; US'!E:E)</f>
        <v>8</v>
      </c>
      <c r="I11" s="266" t="s">
        <v>599</v>
      </c>
      <c r="J11" s="264">
        <v>5</v>
      </c>
      <c r="K11" s="264">
        <v>8</v>
      </c>
      <c r="L11" s="264">
        <v>1</v>
      </c>
    </row>
    <row r="12" spans="1:12" ht="24" customHeight="1" x14ac:dyDescent="0.2">
      <c r="A12" s="128" t="s">
        <v>618</v>
      </c>
      <c r="B12" s="129" t="s">
        <v>619</v>
      </c>
      <c r="C12" s="130" t="s">
        <v>597</v>
      </c>
      <c r="D12" s="130" t="s">
        <v>598</v>
      </c>
      <c r="E12" s="131">
        <f t="shared" si="0"/>
        <v>5</v>
      </c>
      <c r="F12" s="130" t="s">
        <v>32</v>
      </c>
      <c r="G12" s="132" t="s">
        <v>16</v>
      </c>
      <c r="H12" s="131">
        <f>SUMIF('Features &amp; US'!A:A,A11,'Features &amp; US'!E:E)</f>
        <v>19</v>
      </c>
      <c r="I12" s="265" t="s">
        <v>620</v>
      </c>
      <c r="J12" s="263">
        <v>5</v>
      </c>
      <c r="K12" s="263">
        <v>5</v>
      </c>
      <c r="L12" s="263">
        <v>2</v>
      </c>
    </row>
    <row r="13" spans="1:12" ht="24" customHeight="1" x14ac:dyDescent="0.2">
      <c r="A13" s="133" t="s">
        <v>605</v>
      </c>
      <c r="B13" s="134" t="s">
        <v>606</v>
      </c>
      <c r="C13" s="135" t="s">
        <v>597</v>
      </c>
      <c r="D13" s="135" t="s">
        <v>598</v>
      </c>
      <c r="E13" s="131">
        <f t="shared" si="0"/>
        <v>10.5</v>
      </c>
      <c r="F13" s="135" t="s">
        <v>32</v>
      </c>
      <c r="G13" s="137" t="s">
        <v>15</v>
      </c>
      <c r="H13" s="136">
        <f>SUMIF('Features &amp; US'!A:A,A17,'Features &amp; US'!E:E)</f>
        <v>6</v>
      </c>
      <c r="I13" s="266" t="s">
        <v>607</v>
      </c>
      <c r="J13" s="264">
        <v>8</v>
      </c>
      <c r="K13" s="264">
        <v>13</v>
      </c>
      <c r="L13" s="264">
        <v>2</v>
      </c>
    </row>
    <row r="14" spans="1:12" ht="24" customHeight="1" x14ac:dyDescent="0.2">
      <c r="A14" s="128" t="s">
        <v>630</v>
      </c>
      <c r="B14" s="129" t="s">
        <v>631</v>
      </c>
      <c r="C14" s="130" t="s">
        <v>589</v>
      </c>
      <c r="D14" s="130" t="s">
        <v>590</v>
      </c>
      <c r="E14" s="131">
        <f t="shared" si="0"/>
        <v>4</v>
      </c>
      <c r="F14" s="130" t="s">
        <v>36</v>
      </c>
      <c r="G14" s="132" t="s">
        <v>19</v>
      </c>
      <c r="H14" s="131">
        <f>SUMIF('Features &amp; US'!A:A,A12,'Features &amp; US'!E:E)</f>
        <v>20</v>
      </c>
      <c r="I14" s="265" t="s">
        <v>632</v>
      </c>
      <c r="J14" s="263">
        <v>3</v>
      </c>
      <c r="K14" s="263">
        <v>5</v>
      </c>
      <c r="L14" s="263">
        <v>2</v>
      </c>
    </row>
    <row r="15" spans="1:12" ht="24" customHeight="1" x14ac:dyDescent="0.2">
      <c r="A15" s="128" t="s">
        <v>651</v>
      </c>
      <c r="B15" s="129" t="s">
        <v>652</v>
      </c>
      <c r="C15" s="130" t="s">
        <v>602</v>
      </c>
      <c r="D15" s="130" t="s">
        <v>613</v>
      </c>
      <c r="E15" s="131">
        <f t="shared" si="0"/>
        <v>2.5</v>
      </c>
      <c r="F15" s="130" t="s">
        <v>40</v>
      </c>
      <c r="G15" s="132" t="s">
        <v>19</v>
      </c>
      <c r="H15" s="131">
        <f>SUMIF('Features &amp; US'!A:A,A10,'Features &amp; US'!E:E)</f>
        <v>23</v>
      </c>
      <c r="I15" s="265" t="s">
        <v>653</v>
      </c>
      <c r="J15" s="263">
        <v>2</v>
      </c>
      <c r="K15" s="263">
        <v>3</v>
      </c>
      <c r="L15" s="263">
        <v>2</v>
      </c>
    </row>
    <row r="16" spans="1:12" ht="24" customHeight="1" x14ac:dyDescent="0.2">
      <c r="A16" s="128" t="s">
        <v>645</v>
      </c>
      <c r="B16" s="129" t="s">
        <v>646</v>
      </c>
      <c r="C16" s="130" t="s">
        <v>602</v>
      </c>
      <c r="D16" s="130" t="s">
        <v>613</v>
      </c>
      <c r="E16" s="131">
        <f t="shared" si="0"/>
        <v>4</v>
      </c>
      <c r="F16" s="130" t="s">
        <v>40</v>
      </c>
      <c r="G16" s="132" t="s">
        <v>19</v>
      </c>
      <c r="H16" s="131">
        <f>SUMIF('Features &amp; US'!A:A,A14,'Features &amp; US'!E:E)</f>
        <v>13</v>
      </c>
      <c r="I16" s="265" t="s">
        <v>647</v>
      </c>
      <c r="J16" s="263">
        <v>3</v>
      </c>
      <c r="K16" s="263">
        <v>5</v>
      </c>
      <c r="L16" s="263">
        <v>2</v>
      </c>
    </row>
    <row r="17" spans="1:12" ht="24" customHeight="1" x14ac:dyDescent="0.2">
      <c r="A17" s="133" t="s">
        <v>648</v>
      </c>
      <c r="B17" s="134" t="s">
        <v>649</v>
      </c>
      <c r="C17" s="135" t="s">
        <v>597</v>
      </c>
      <c r="D17" s="135" t="s">
        <v>603</v>
      </c>
      <c r="E17" s="131">
        <f t="shared" si="0"/>
        <v>4</v>
      </c>
      <c r="F17" s="135" t="s">
        <v>40</v>
      </c>
      <c r="G17" s="137" t="s">
        <v>19</v>
      </c>
      <c r="H17" s="136">
        <f>SUMIF('Features &amp; US'!A:A,A15,'Features &amp; US'!E:E)</f>
        <v>8</v>
      </c>
      <c r="I17" s="266" t="s">
        <v>650</v>
      </c>
      <c r="J17" s="264">
        <v>3</v>
      </c>
      <c r="K17" s="264">
        <v>5</v>
      </c>
      <c r="L17" s="264">
        <v>2</v>
      </c>
    </row>
    <row r="18" spans="1:12" ht="24" customHeight="1" x14ac:dyDescent="0.2">
      <c r="A18" s="133" t="s">
        <v>621</v>
      </c>
      <c r="B18" s="134" t="s">
        <v>622</v>
      </c>
      <c r="C18" s="135" t="s">
        <v>602</v>
      </c>
      <c r="D18" s="135" t="s">
        <v>613</v>
      </c>
      <c r="E18" s="131">
        <f t="shared" si="0"/>
        <v>8</v>
      </c>
      <c r="F18" s="135" t="s">
        <v>36</v>
      </c>
      <c r="G18" s="137" t="s">
        <v>19</v>
      </c>
      <c r="H18" s="136">
        <f>SUMIF('Features &amp; US'!A:A,A20,'Features &amp; US'!E:E)</f>
        <v>7</v>
      </c>
      <c r="I18" s="266" t="s">
        <v>623</v>
      </c>
      <c r="J18" s="264">
        <v>3</v>
      </c>
      <c r="K18" s="264">
        <v>5</v>
      </c>
      <c r="L18" s="264">
        <v>1</v>
      </c>
    </row>
    <row r="19" spans="1:12" ht="24" customHeight="1" x14ac:dyDescent="0.2">
      <c r="A19" s="133" t="s">
        <v>633</v>
      </c>
      <c r="B19" s="134" t="s">
        <v>634</v>
      </c>
      <c r="C19" s="135" t="s">
        <v>597</v>
      </c>
      <c r="D19" s="135" t="s">
        <v>598</v>
      </c>
      <c r="E19" s="131">
        <f t="shared" si="0"/>
        <v>3.5</v>
      </c>
      <c r="F19" s="135" t="s">
        <v>36</v>
      </c>
      <c r="G19" s="137" t="s">
        <v>19</v>
      </c>
      <c r="H19" s="136">
        <f>SUMIF('Features &amp; US'!A:A,A18,'Features &amp; US'!E:E)</f>
        <v>8</v>
      </c>
      <c r="I19" s="266" t="s">
        <v>635</v>
      </c>
      <c r="J19" s="264">
        <v>2</v>
      </c>
      <c r="K19" s="264">
        <v>5</v>
      </c>
      <c r="L19" s="264">
        <v>2</v>
      </c>
    </row>
    <row r="20" spans="1:12" ht="24" customHeight="1" x14ac:dyDescent="0.2">
      <c r="A20" s="128" t="s">
        <v>627</v>
      </c>
      <c r="B20" s="129" t="s">
        <v>628</v>
      </c>
      <c r="C20" s="130" t="s">
        <v>589</v>
      </c>
      <c r="D20" s="130" t="s">
        <v>590</v>
      </c>
      <c r="E20" s="131">
        <f t="shared" si="0"/>
        <v>5</v>
      </c>
      <c r="F20" s="130" t="s">
        <v>36</v>
      </c>
      <c r="G20" s="132" t="s">
        <v>19</v>
      </c>
      <c r="H20" s="131">
        <f>SUMIF('Features &amp; US'!A:A,A22,'Features &amp; US'!E:E)</f>
        <v>8</v>
      </c>
      <c r="I20" s="265" t="s">
        <v>629</v>
      </c>
      <c r="J20" s="263">
        <v>2</v>
      </c>
      <c r="K20" s="263">
        <v>3</v>
      </c>
      <c r="L20" s="263">
        <v>1</v>
      </c>
    </row>
    <row r="21" spans="1:12" ht="24" customHeight="1" x14ac:dyDescent="0.2">
      <c r="A21" s="128" t="s">
        <v>636</v>
      </c>
      <c r="B21" s="129" t="s">
        <v>637</v>
      </c>
      <c r="C21" s="130" t="s">
        <v>602</v>
      </c>
      <c r="D21" s="130" t="s">
        <v>613</v>
      </c>
      <c r="E21" s="131">
        <f t="shared" si="0"/>
        <v>5</v>
      </c>
      <c r="F21" s="130" t="s">
        <v>40</v>
      </c>
      <c r="G21" s="132" t="s">
        <v>19</v>
      </c>
      <c r="H21" s="131">
        <f>SUMIF('Features &amp; US'!A:A,A24,'Features &amp; US'!E:E)</f>
        <v>8</v>
      </c>
      <c r="I21" s="265" t="s">
        <v>638</v>
      </c>
      <c r="J21" s="263">
        <v>2</v>
      </c>
      <c r="K21" s="263">
        <v>3</v>
      </c>
      <c r="L21" s="263">
        <v>1</v>
      </c>
    </row>
    <row r="22" spans="1:12" ht="24" customHeight="1" x14ac:dyDescent="0.2">
      <c r="A22" s="128" t="s">
        <v>654</v>
      </c>
      <c r="B22" s="129" t="s">
        <v>655</v>
      </c>
      <c r="C22" s="130" t="s">
        <v>602</v>
      </c>
      <c r="D22" s="130" t="s">
        <v>613</v>
      </c>
      <c r="E22" s="131">
        <f t="shared" si="0"/>
        <v>1.3333333333333333</v>
      </c>
      <c r="F22" s="130" t="s">
        <v>40</v>
      </c>
      <c r="G22" s="132" t="s">
        <v>19</v>
      </c>
      <c r="H22" s="131">
        <f>SUMIF('Features &amp; US'!A:A,A20,'Features &amp; US'!E:E)</f>
        <v>7</v>
      </c>
      <c r="I22" s="265" t="s">
        <v>656</v>
      </c>
      <c r="J22" s="263">
        <v>2</v>
      </c>
      <c r="K22" s="263">
        <v>2</v>
      </c>
      <c r="L22" s="263">
        <v>3</v>
      </c>
    </row>
    <row r="23" spans="1:12" ht="24" customHeight="1" x14ac:dyDescent="0.2">
      <c r="A23" s="133" t="s">
        <v>639</v>
      </c>
      <c r="B23" s="134" t="s">
        <v>640</v>
      </c>
      <c r="C23" s="135" t="s">
        <v>597</v>
      </c>
      <c r="D23" s="135" t="s">
        <v>598</v>
      </c>
      <c r="E23" s="131">
        <f t="shared" si="0"/>
        <v>5</v>
      </c>
      <c r="F23" s="135" t="s">
        <v>40</v>
      </c>
      <c r="G23" s="137" t="s">
        <v>19</v>
      </c>
      <c r="H23" s="136">
        <f>SUMIF('Features &amp; US'!A:A,A27,'Features &amp; US'!E:E)</f>
        <v>0</v>
      </c>
      <c r="I23" s="266" t="s">
        <v>641</v>
      </c>
      <c r="J23" s="264">
        <v>2</v>
      </c>
      <c r="K23" s="264">
        <v>3</v>
      </c>
      <c r="L23" s="264">
        <v>1</v>
      </c>
    </row>
    <row r="24" spans="1:12" ht="24" customHeight="1" x14ac:dyDescent="0.2">
      <c r="A24" s="133" t="s">
        <v>642</v>
      </c>
      <c r="B24" s="134" t="s">
        <v>643</v>
      </c>
      <c r="C24" s="135" t="s">
        <v>597</v>
      </c>
      <c r="D24" s="135" t="s">
        <v>590</v>
      </c>
      <c r="E24" s="131">
        <f t="shared" si="0"/>
        <v>5</v>
      </c>
      <c r="F24" s="135" t="s">
        <v>40</v>
      </c>
      <c r="G24" s="137" t="s">
        <v>19</v>
      </c>
      <c r="H24" s="136">
        <f>SUMIF('Features &amp; US'!A:A,A28,'Features &amp; US'!E:E)</f>
        <v>0</v>
      </c>
      <c r="I24" s="266" t="s">
        <v>644</v>
      </c>
      <c r="J24" s="264">
        <v>2</v>
      </c>
      <c r="K24" s="264">
        <v>3</v>
      </c>
      <c r="L24" s="264">
        <v>1</v>
      </c>
    </row>
  </sheetData>
  <autoFilter ref="A3:L24" xr:uid="{00000000-0009-0000-0000-000005000000}">
    <sortState xmlns:xlrd2="http://schemas.microsoft.com/office/spreadsheetml/2017/richdata2" ref="A4:L24">
      <sortCondition ref="A3:A24"/>
    </sortState>
  </autoFilter>
  <mergeCells count="1">
    <mergeCell ref="A1:H1"/>
  </mergeCells>
  <conditionalFormatting sqref="G4:G24">
    <cfRule type="cellIs" dxfId="35" priority="2" operator="equal">
      <formula>"Terminé"</formula>
    </cfRule>
    <cfRule type="cellIs" dxfId="34" priority="3" operator="equal">
      <formula>"En cours"</formula>
    </cfRule>
    <cfRule type="cellIs" dxfId="33" priority="4" operator="equal">
      <formula>"Terminé"</formula>
    </cfRule>
    <cfRule type="cellIs" dxfId="32" priority="5" operator="equal">
      <formula>"Livré"</formula>
    </cfRule>
    <cfRule type="cellIs" dxfId="31" priority="6" operator="equal">
      <formula>"En cours"</formula>
    </cfRule>
    <cfRule type="cellIs" dxfId="30" priority="7" operator="equal">
      <formula>"Backlog"</formula>
    </cfRule>
  </conditionalFormatting>
  <dataValidations count="5">
    <dataValidation type="list" allowBlank="1" sqref="C4:C24" xr:uid="{00000000-0002-0000-0500-000000000000}">
      <formula1>"VS1 - Club to Screen,VS2 - Sponsor to Impression,Transverse"</formula1>
      <formula2>0</formula2>
    </dataValidation>
    <dataValidation type="list" allowBlank="1" sqref="D4:D24" xr:uid="{00000000-0002-0000-0500-000001000000}">
      <formula1>"TS1 - Monétisation,TS2 - Expérience Match,TS3 - Acquisition,TS4 - Excellence Ops"</formula1>
      <formula2>0</formula2>
    </dataValidation>
    <dataValidation type="list" allowBlank="1" sqref="F4:F24" xr:uid="{00000000-0002-0000-0500-000002000000}">
      <formula1>"PI-1,PI-2,PI-3,PI-4"</formula1>
      <formula2>0</formula2>
    </dataValidation>
    <dataValidation type="list" allowBlank="1" sqref="G4:G24" xr:uid="{00000000-0002-0000-0500-000003000000}">
      <formula1>"Backlog,En cours,Terminé"</formula1>
      <formula2>0</formula2>
    </dataValidation>
    <dataValidation type="list" allowBlank="1" sqref="J4:L24" xr:uid="{00000000-0002-0000-0500-000004000000}">
      <formula1>"1,2,3,5,8,13"</formula1>
      <formula2>0</formula2>
    </dataValidation>
  </dataValidations>
  <hyperlinks>
    <hyperlink ref="A1" location="Dashboard!A1" display="← Dashboard" xr:uid="{00000000-0004-0000-0500-000000000000}"/>
  </hyperlink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3"/>
  <sheetViews>
    <sheetView topLeftCell="F1" zoomScaleNormal="100" workbookViewId="0">
      <pane ySplit="4" topLeftCell="A5" activePane="bottomLeft" state="frozen"/>
      <selection pane="bottomLeft" activeCell="L6" sqref="L6"/>
    </sheetView>
  </sheetViews>
  <sheetFormatPr baseColWidth="10" defaultColWidth="8.6640625" defaultRowHeight="15" customHeight="1" x14ac:dyDescent="0.2"/>
  <cols>
    <col min="1" max="1" width="8" customWidth="1"/>
    <col min="2" max="2" width="28" customWidth="1"/>
    <col min="3" max="3" width="18" customWidth="1"/>
    <col min="4" max="4" width="24" customWidth="1"/>
    <col min="5" max="5" width="22" customWidth="1"/>
    <col min="6" max="6" width="10.83203125" bestFit="1" customWidth="1"/>
    <col min="7" max="8" width="50" customWidth="1"/>
    <col min="9" max="9" width="10" customWidth="1"/>
    <col min="10" max="11" width="40" customWidth="1"/>
    <col min="12" max="12" width="35" customWidth="1"/>
  </cols>
  <sheetData>
    <row r="1" spans="1:12" ht="15" customHeight="1" x14ac:dyDescent="0.2">
      <c r="A1" s="292" t="s">
        <v>70</v>
      </c>
      <c r="B1" s="292"/>
      <c r="C1" s="3"/>
      <c r="D1" s="3"/>
      <c r="E1" s="3"/>
      <c r="F1" s="3"/>
      <c r="G1" s="3"/>
      <c r="H1" s="3"/>
      <c r="I1" s="3"/>
      <c r="J1" s="3"/>
      <c r="K1" s="3"/>
      <c r="L1" s="3"/>
    </row>
    <row r="2" spans="1:12" ht="15" customHeight="1" x14ac:dyDescent="0.2">
      <c r="A2" s="3"/>
      <c r="B2" s="3"/>
      <c r="C2" s="3"/>
      <c r="D2" s="3"/>
      <c r="E2" s="3"/>
      <c r="F2" s="3"/>
      <c r="G2" s="3"/>
      <c r="H2" s="3"/>
      <c r="I2" s="3"/>
      <c r="J2" s="3"/>
      <c r="K2" s="3"/>
      <c r="L2" s="3"/>
    </row>
    <row r="3" spans="1:12" ht="17.25" customHeight="1" x14ac:dyDescent="0.2">
      <c r="A3" s="285" t="s">
        <v>657</v>
      </c>
      <c r="B3" s="285"/>
      <c r="C3" s="285"/>
      <c r="D3" s="285"/>
      <c r="E3" s="285"/>
      <c r="F3" s="285"/>
      <c r="G3" s="285"/>
      <c r="H3" s="285"/>
      <c r="I3" s="285"/>
      <c r="J3" s="285"/>
      <c r="K3" s="285"/>
      <c r="L3" s="285"/>
    </row>
    <row r="4" spans="1:12" ht="27.75" customHeight="1" x14ac:dyDescent="0.2">
      <c r="A4" s="127" t="s">
        <v>578</v>
      </c>
      <c r="B4" s="127" t="s">
        <v>190</v>
      </c>
      <c r="C4" s="127" t="s">
        <v>27</v>
      </c>
      <c r="D4" s="127" t="s">
        <v>580</v>
      </c>
      <c r="E4" s="127" t="s">
        <v>236</v>
      </c>
      <c r="F4" s="127" t="s">
        <v>156</v>
      </c>
      <c r="G4" s="127" t="s">
        <v>658</v>
      </c>
      <c r="H4" s="127" t="s">
        <v>659</v>
      </c>
      <c r="I4" s="127" t="s">
        <v>660</v>
      </c>
      <c r="J4" s="127" t="s">
        <v>661</v>
      </c>
      <c r="K4" s="127" t="s">
        <v>662</v>
      </c>
      <c r="L4" s="127" t="s">
        <v>663</v>
      </c>
    </row>
    <row r="5" spans="1:12" ht="48" customHeight="1" x14ac:dyDescent="0.2">
      <c r="A5" s="128" t="s">
        <v>592</v>
      </c>
      <c r="B5" s="138" t="s">
        <v>593</v>
      </c>
      <c r="C5" s="130" t="s">
        <v>32</v>
      </c>
      <c r="D5" s="130" t="s">
        <v>589</v>
      </c>
      <c r="E5" s="130" t="s">
        <v>590</v>
      </c>
      <c r="F5" s="131">
        <v>13</v>
      </c>
      <c r="G5" s="139" t="s">
        <v>664</v>
      </c>
      <c r="H5" s="139" t="s">
        <v>665</v>
      </c>
      <c r="I5" s="131">
        <f>'Epics &amp; LBC'!H5</f>
        <v>0</v>
      </c>
      <c r="J5" s="139" t="s">
        <v>666</v>
      </c>
      <c r="K5" s="140" t="s">
        <v>667</v>
      </c>
      <c r="L5" s="138" t="s">
        <v>668</v>
      </c>
    </row>
    <row r="6" spans="1:12" ht="48" customHeight="1" x14ac:dyDescent="0.2">
      <c r="A6" s="128" t="s">
        <v>608</v>
      </c>
      <c r="B6" s="138" t="s">
        <v>609</v>
      </c>
      <c r="C6" s="130" t="s">
        <v>32</v>
      </c>
      <c r="D6" s="130" t="s">
        <v>589</v>
      </c>
      <c r="E6" s="130" t="s">
        <v>590</v>
      </c>
      <c r="F6" s="131">
        <v>10</v>
      </c>
      <c r="G6" s="139" t="s">
        <v>669</v>
      </c>
      <c r="H6" s="139" t="s">
        <v>670</v>
      </c>
      <c r="I6" s="131">
        <f>'Epics &amp; LBC'!H9</f>
        <v>13</v>
      </c>
      <c r="J6" s="139" t="s">
        <v>671</v>
      </c>
      <c r="K6" s="140" t="s">
        <v>672</v>
      </c>
      <c r="L6" s="138" t="s">
        <v>673</v>
      </c>
    </row>
    <row r="7" spans="1:12" ht="48" customHeight="1" x14ac:dyDescent="0.2">
      <c r="A7" s="128" t="s">
        <v>587</v>
      </c>
      <c r="B7" s="138" t="s">
        <v>588</v>
      </c>
      <c r="C7" s="130" t="s">
        <v>32</v>
      </c>
      <c r="D7" s="130" t="s">
        <v>589</v>
      </c>
      <c r="E7" s="130" t="s">
        <v>590</v>
      </c>
      <c r="F7" s="131">
        <v>21</v>
      </c>
      <c r="G7" s="139" t="s">
        <v>674</v>
      </c>
      <c r="H7" s="139" t="s">
        <v>675</v>
      </c>
      <c r="I7" s="131">
        <f>'Epics &amp; LBC'!H4</f>
        <v>0</v>
      </c>
      <c r="J7" s="139" t="s">
        <v>676</v>
      </c>
      <c r="K7" s="140" t="s">
        <v>677</v>
      </c>
      <c r="L7" s="138" t="s">
        <v>678</v>
      </c>
    </row>
    <row r="8" spans="1:12" ht="48" customHeight="1" x14ac:dyDescent="0.2">
      <c r="A8" s="133" t="s">
        <v>611</v>
      </c>
      <c r="B8" s="141" t="s">
        <v>612</v>
      </c>
      <c r="C8" s="135" t="s">
        <v>32</v>
      </c>
      <c r="D8" s="135" t="s">
        <v>602</v>
      </c>
      <c r="E8" s="135" t="s">
        <v>613</v>
      </c>
      <c r="F8" s="136">
        <v>8</v>
      </c>
      <c r="G8" s="142" t="s">
        <v>679</v>
      </c>
      <c r="H8" s="142" t="s">
        <v>680</v>
      </c>
      <c r="I8" s="136">
        <f>'Epics &amp; LBC'!H10</f>
        <v>20</v>
      </c>
      <c r="J8" s="142" t="s">
        <v>681</v>
      </c>
      <c r="K8" s="143" t="s">
        <v>682</v>
      </c>
      <c r="L8" s="141" t="s">
        <v>683</v>
      </c>
    </row>
    <row r="9" spans="1:12" ht="48" customHeight="1" x14ac:dyDescent="0.2">
      <c r="A9" s="133" t="s">
        <v>615</v>
      </c>
      <c r="B9" s="141" t="s">
        <v>616</v>
      </c>
      <c r="C9" s="135" t="s">
        <v>32</v>
      </c>
      <c r="D9" s="135" t="s">
        <v>602</v>
      </c>
      <c r="E9" s="135" t="s">
        <v>603</v>
      </c>
      <c r="F9" s="136">
        <v>6.5</v>
      </c>
      <c r="G9" s="142" t="s">
        <v>684</v>
      </c>
      <c r="H9" s="142" t="s">
        <v>685</v>
      </c>
      <c r="I9" s="136">
        <f>'Epics &amp; LBC'!H11</f>
        <v>8</v>
      </c>
      <c r="J9" s="142" t="s">
        <v>686</v>
      </c>
      <c r="K9" s="143" t="s">
        <v>687</v>
      </c>
      <c r="L9" s="141" t="s">
        <v>688</v>
      </c>
    </row>
    <row r="10" spans="1:12" ht="48" customHeight="1" x14ac:dyDescent="0.2">
      <c r="A10" s="133" t="s">
        <v>600</v>
      </c>
      <c r="B10" s="141" t="s">
        <v>601</v>
      </c>
      <c r="C10" s="135" t="s">
        <v>689</v>
      </c>
      <c r="D10" s="135" t="s">
        <v>602</v>
      </c>
      <c r="E10" s="135" t="s">
        <v>603</v>
      </c>
      <c r="F10" s="136">
        <v>10.5</v>
      </c>
      <c r="G10" s="142" t="s">
        <v>690</v>
      </c>
      <c r="H10" s="142" t="s">
        <v>691</v>
      </c>
      <c r="I10" s="136">
        <f>'Epics &amp; LBC'!H7</f>
        <v>19</v>
      </c>
      <c r="J10" s="142" t="s">
        <v>692</v>
      </c>
      <c r="K10" s="143" t="s">
        <v>693</v>
      </c>
      <c r="L10" s="141" t="s">
        <v>694</v>
      </c>
    </row>
    <row r="11" spans="1:12" ht="48" customHeight="1" x14ac:dyDescent="0.2">
      <c r="A11" s="128" t="s">
        <v>595</v>
      </c>
      <c r="B11" s="138" t="s">
        <v>596</v>
      </c>
      <c r="C11" s="130" t="s">
        <v>695</v>
      </c>
      <c r="D11" s="130" t="s">
        <v>597</v>
      </c>
      <c r="E11" s="130" t="s">
        <v>598</v>
      </c>
      <c r="F11" s="131">
        <v>13</v>
      </c>
      <c r="G11" s="139" t="s">
        <v>696</v>
      </c>
      <c r="H11" s="139" t="s">
        <v>697</v>
      </c>
      <c r="I11" s="131">
        <f>'Epics &amp; LBC'!H6</f>
        <v>14</v>
      </c>
      <c r="J11" s="139" t="s">
        <v>698</v>
      </c>
      <c r="K11" s="140" t="s">
        <v>699</v>
      </c>
      <c r="L11" s="138" t="s">
        <v>700</v>
      </c>
    </row>
    <row r="12" spans="1:12" ht="48" customHeight="1" x14ac:dyDescent="0.2">
      <c r="A12" s="128" t="s">
        <v>618</v>
      </c>
      <c r="B12" s="138" t="s">
        <v>619</v>
      </c>
      <c r="C12" s="130" t="s">
        <v>695</v>
      </c>
      <c r="D12" s="130" t="s">
        <v>597</v>
      </c>
      <c r="E12" s="130" t="s">
        <v>598</v>
      </c>
      <c r="F12" s="131">
        <v>5</v>
      </c>
      <c r="G12" s="139" t="s">
        <v>701</v>
      </c>
      <c r="H12" s="139" t="s">
        <v>702</v>
      </c>
      <c r="I12" s="131">
        <f>'Epics &amp; LBC'!H12</f>
        <v>19</v>
      </c>
      <c r="J12" s="139" t="s">
        <v>703</v>
      </c>
      <c r="K12" s="140" t="s">
        <v>704</v>
      </c>
      <c r="L12" s="138" t="s">
        <v>705</v>
      </c>
    </row>
    <row r="13" spans="1:12" ht="48" customHeight="1" x14ac:dyDescent="0.2">
      <c r="A13" s="128" t="s">
        <v>605</v>
      </c>
      <c r="B13" s="138" t="s">
        <v>606</v>
      </c>
      <c r="C13" s="130" t="s">
        <v>689</v>
      </c>
      <c r="D13" s="130" t="s">
        <v>597</v>
      </c>
      <c r="E13" s="130" t="s">
        <v>598</v>
      </c>
      <c r="F13" s="131">
        <v>10.5</v>
      </c>
      <c r="G13" s="139" t="s">
        <v>706</v>
      </c>
      <c r="H13" s="139" t="s">
        <v>707</v>
      </c>
      <c r="I13" s="131">
        <f>'Epics &amp; LBC'!H8</f>
        <v>12</v>
      </c>
      <c r="J13" s="139" t="s">
        <v>708</v>
      </c>
      <c r="K13" s="140" t="s">
        <v>709</v>
      </c>
      <c r="L13" s="138" t="s">
        <v>710</v>
      </c>
    </row>
    <row r="14" spans="1:12" ht="48" customHeight="1" x14ac:dyDescent="0.2">
      <c r="A14" s="133" t="s">
        <v>624</v>
      </c>
      <c r="B14" s="141" t="s">
        <v>625</v>
      </c>
      <c r="C14" s="135" t="s">
        <v>36</v>
      </c>
      <c r="D14" s="135" t="s">
        <v>589</v>
      </c>
      <c r="E14" s="135" t="s">
        <v>613</v>
      </c>
      <c r="F14" s="136">
        <v>5</v>
      </c>
      <c r="G14" s="142" t="s">
        <v>711</v>
      </c>
      <c r="H14" s="142" t="s">
        <v>712</v>
      </c>
      <c r="I14" s="136">
        <f>'Epics &amp; LBC'!H14</f>
        <v>20</v>
      </c>
      <c r="J14" s="142" t="s">
        <v>713</v>
      </c>
      <c r="K14" s="143" t="s">
        <v>714</v>
      </c>
      <c r="L14" s="141" t="s">
        <v>715</v>
      </c>
    </row>
    <row r="15" spans="1:12" ht="48" customHeight="1" x14ac:dyDescent="0.2">
      <c r="A15" s="133" t="s">
        <v>630</v>
      </c>
      <c r="B15" s="141" t="s">
        <v>631</v>
      </c>
      <c r="C15" s="135" t="s">
        <v>36</v>
      </c>
      <c r="D15" s="135" t="s">
        <v>589</v>
      </c>
      <c r="E15" s="135" t="s">
        <v>590</v>
      </c>
      <c r="F15" s="136">
        <v>4</v>
      </c>
      <c r="G15" s="142" t="s">
        <v>716</v>
      </c>
      <c r="H15" s="142" t="s">
        <v>717</v>
      </c>
      <c r="I15" s="136">
        <f>'Epics &amp; LBC'!H16</f>
        <v>13</v>
      </c>
      <c r="J15" s="142" t="s">
        <v>718</v>
      </c>
      <c r="K15" s="143" t="s">
        <v>719</v>
      </c>
      <c r="L15" s="141" t="s">
        <v>720</v>
      </c>
    </row>
    <row r="16" spans="1:12" ht="48" customHeight="1" x14ac:dyDescent="0.2">
      <c r="A16" s="128" t="s">
        <v>621</v>
      </c>
      <c r="B16" s="138" t="s">
        <v>721</v>
      </c>
      <c r="C16" s="130" t="s">
        <v>36</v>
      </c>
      <c r="D16" s="130" t="s">
        <v>602</v>
      </c>
      <c r="E16" s="130" t="s">
        <v>613</v>
      </c>
      <c r="F16" s="131">
        <v>8</v>
      </c>
      <c r="G16" s="139" t="s">
        <v>722</v>
      </c>
      <c r="H16" s="139" t="s">
        <v>723</v>
      </c>
      <c r="I16" s="131">
        <f>'Epics &amp; LBC'!H13</f>
        <v>6</v>
      </c>
      <c r="J16" s="139" t="s">
        <v>724</v>
      </c>
      <c r="K16" s="140" t="s">
        <v>725</v>
      </c>
      <c r="L16" s="138" t="s">
        <v>726</v>
      </c>
    </row>
    <row r="17" spans="1:12" ht="48" customHeight="1" x14ac:dyDescent="0.2">
      <c r="A17" s="133" t="s">
        <v>633</v>
      </c>
      <c r="B17" s="141" t="s">
        <v>634</v>
      </c>
      <c r="C17" s="135" t="s">
        <v>36</v>
      </c>
      <c r="D17" s="135" t="s">
        <v>597</v>
      </c>
      <c r="E17" s="135" t="s">
        <v>598</v>
      </c>
      <c r="F17" s="136">
        <v>3.5</v>
      </c>
      <c r="G17" s="142" t="s">
        <v>727</v>
      </c>
      <c r="H17" s="142" t="s">
        <v>728</v>
      </c>
      <c r="I17" s="136">
        <f>'Epics &amp; LBC'!H17</f>
        <v>8</v>
      </c>
      <c r="J17" s="142" t="s">
        <v>729</v>
      </c>
      <c r="K17" s="143" t="s">
        <v>730</v>
      </c>
      <c r="L17" s="141" t="s">
        <v>731</v>
      </c>
    </row>
    <row r="18" spans="1:12" ht="48" customHeight="1" x14ac:dyDescent="0.2">
      <c r="A18" s="128" t="s">
        <v>627</v>
      </c>
      <c r="B18" s="138" t="s">
        <v>628</v>
      </c>
      <c r="C18" s="130" t="s">
        <v>36</v>
      </c>
      <c r="D18" s="130" t="s">
        <v>589</v>
      </c>
      <c r="E18" s="130" t="s">
        <v>590</v>
      </c>
      <c r="F18" s="131">
        <v>5</v>
      </c>
      <c r="G18" s="139" t="s">
        <v>732</v>
      </c>
      <c r="H18" s="139" t="s">
        <v>733</v>
      </c>
      <c r="I18" s="131">
        <f>'Epics &amp; LBC'!H15</f>
        <v>23</v>
      </c>
      <c r="J18" s="139" t="s">
        <v>734</v>
      </c>
      <c r="K18" s="140" t="s">
        <v>735</v>
      </c>
      <c r="L18" s="138" t="s">
        <v>736</v>
      </c>
    </row>
    <row r="19" spans="1:12" ht="48" customHeight="1" x14ac:dyDescent="0.2">
      <c r="A19" s="133" t="s">
        <v>651</v>
      </c>
      <c r="B19" s="141" t="s">
        <v>652</v>
      </c>
      <c r="C19" s="135" t="s">
        <v>40</v>
      </c>
      <c r="D19" s="135" t="s">
        <v>602</v>
      </c>
      <c r="E19" s="135" t="s">
        <v>613</v>
      </c>
      <c r="F19" s="136">
        <v>2.5</v>
      </c>
      <c r="G19" s="142" t="s">
        <v>737</v>
      </c>
      <c r="H19" s="142" t="s">
        <v>738</v>
      </c>
      <c r="I19" s="136">
        <f>'Epics &amp; LBC'!H23</f>
        <v>0</v>
      </c>
      <c r="J19" s="142" t="s">
        <v>739</v>
      </c>
      <c r="K19" s="143" t="s">
        <v>740</v>
      </c>
      <c r="L19" s="141" t="s">
        <v>741</v>
      </c>
    </row>
    <row r="20" spans="1:12" ht="48" customHeight="1" x14ac:dyDescent="0.2">
      <c r="A20" s="133" t="s">
        <v>645</v>
      </c>
      <c r="B20" s="141" t="s">
        <v>646</v>
      </c>
      <c r="C20" s="135" t="s">
        <v>40</v>
      </c>
      <c r="D20" s="135" t="s">
        <v>602</v>
      </c>
      <c r="E20" s="135" t="s">
        <v>613</v>
      </c>
      <c r="F20" s="136">
        <v>4</v>
      </c>
      <c r="G20" s="142" t="s">
        <v>742</v>
      </c>
      <c r="H20" s="142" t="s">
        <v>743</v>
      </c>
      <c r="I20" s="136">
        <f>'Epics &amp; LBC'!H21</f>
        <v>8</v>
      </c>
      <c r="J20" s="142" t="s">
        <v>744</v>
      </c>
      <c r="K20" s="143" t="s">
        <v>745</v>
      </c>
      <c r="L20" s="141" t="s">
        <v>746</v>
      </c>
    </row>
    <row r="21" spans="1:12" ht="48" customHeight="1" x14ac:dyDescent="0.2">
      <c r="A21" s="128" t="s">
        <v>648</v>
      </c>
      <c r="B21" s="138" t="s">
        <v>649</v>
      </c>
      <c r="C21" s="130" t="s">
        <v>40</v>
      </c>
      <c r="D21" s="130" t="s">
        <v>597</v>
      </c>
      <c r="E21" s="130" t="s">
        <v>603</v>
      </c>
      <c r="F21" s="131">
        <v>4</v>
      </c>
      <c r="G21" s="139" t="s">
        <v>747</v>
      </c>
      <c r="H21" s="139" t="s">
        <v>748</v>
      </c>
      <c r="I21" s="131">
        <f>'Epics &amp; LBC'!H22</f>
        <v>7</v>
      </c>
      <c r="J21" s="139" t="s">
        <v>749</v>
      </c>
      <c r="K21" s="140" t="s">
        <v>750</v>
      </c>
      <c r="L21" s="138" t="s">
        <v>751</v>
      </c>
    </row>
    <row r="22" spans="1:12" ht="48" customHeight="1" x14ac:dyDescent="0.2">
      <c r="A22" s="133" t="s">
        <v>636</v>
      </c>
      <c r="B22" s="141" t="s">
        <v>637</v>
      </c>
      <c r="C22" s="135" t="s">
        <v>40</v>
      </c>
      <c r="D22" s="135" t="s">
        <v>602</v>
      </c>
      <c r="E22" s="135" t="s">
        <v>613</v>
      </c>
      <c r="F22" s="136">
        <v>5</v>
      </c>
      <c r="G22" s="142" t="s">
        <v>752</v>
      </c>
      <c r="H22" s="142" t="s">
        <v>753</v>
      </c>
      <c r="I22" s="136">
        <f>'Epics &amp; LBC'!H18</f>
        <v>7</v>
      </c>
      <c r="J22" s="142" t="s">
        <v>754</v>
      </c>
      <c r="K22" s="143" t="s">
        <v>755</v>
      </c>
      <c r="L22" s="141" t="s">
        <v>756</v>
      </c>
    </row>
    <row r="23" spans="1:12" ht="48" customHeight="1" x14ac:dyDescent="0.2">
      <c r="A23" s="133" t="s">
        <v>654</v>
      </c>
      <c r="B23" s="141" t="s">
        <v>655</v>
      </c>
      <c r="C23" s="135" t="s">
        <v>40</v>
      </c>
      <c r="D23" s="135" t="s">
        <v>602</v>
      </c>
      <c r="E23" s="135" t="s">
        <v>613</v>
      </c>
      <c r="F23" s="136">
        <v>1.3</v>
      </c>
      <c r="G23" s="142" t="s">
        <v>757</v>
      </c>
      <c r="H23" s="142" t="s">
        <v>758</v>
      </c>
      <c r="I23" s="136">
        <f>'Epics &amp; LBC'!H24</f>
        <v>0</v>
      </c>
      <c r="J23" s="142" t="s">
        <v>759</v>
      </c>
      <c r="K23" s="143" t="s">
        <v>760</v>
      </c>
      <c r="L23" s="141" t="s">
        <v>761</v>
      </c>
    </row>
    <row r="24" spans="1:12" ht="48" customHeight="1" x14ac:dyDescent="0.2">
      <c r="A24" s="128" t="s">
        <v>639</v>
      </c>
      <c r="B24" s="138" t="s">
        <v>640</v>
      </c>
      <c r="C24" s="130" t="s">
        <v>40</v>
      </c>
      <c r="D24" s="130" t="s">
        <v>597</v>
      </c>
      <c r="E24" s="130" t="s">
        <v>598</v>
      </c>
      <c r="F24" s="131">
        <v>5</v>
      </c>
      <c r="G24" s="139" t="s">
        <v>762</v>
      </c>
      <c r="H24" s="139" t="s">
        <v>763</v>
      </c>
      <c r="I24" s="131">
        <f>'Epics &amp; LBC'!H19</f>
        <v>8</v>
      </c>
      <c r="J24" s="139" t="s">
        <v>764</v>
      </c>
      <c r="K24" s="140" t="s">
        <v>765</v>
      </c>
      <c r="L24" s="138" t="s">
        <v>766</v>
      </c>
    </row>
    <row r="25" spans="1:12" ht="48" customHeight="1" x14ac:dyDescent="0.2">
      <c r="A25" s="128" t="s">
        <v>642</v>
      </c>
      <c r="B25" s="138" t="s">
        <v>643</v>
      </c>
      <c r="C25" s="130" t="s">
        <v>40</v>
      </c>
      <c r="D25" s="130" t="s">
        <v>597</v>
      </c>
      <c r="E25" s="130" t="s">
        <v>590</v>
      </c>
      <c r="F25" s="131">
        <v>5</v>
      </c>
      <c r="G25" s="139" t="s">
        <v>767</v>
      </c>
      <c r="H25" s="139" t="s">
        <v>768</v>
      </c>
      <c r="I25" s="131">
        <f>'Epics &amp; LBC'!H20</f>
        <v>8</v>
      </c>
      <c r="J25" s="139" t="s">
        <v>769</v>
      </c>
      <c r="K25" s="140" t="s">
        <v>770</v>
      </c>
      <c r="L25" s="138" t="s">
        <v>771</v>
      </c>
    </row>
    <row r="26" spans="1:12" ht="15" customHeight="1" x14ac:dyDescent="0.2">
      <c r="A26" s="3"/>
      <c r="B26" s="3"/>
      <c r="C26" s="3"/>
      <c r="D26" s="3"/>
      <c r="E26" s="3"/>
      <c r="F26" s="3"/>
      <c r="G26" s="3"/>
      <c r="H26" s="3"/>
      <c r="I26" s="3"/>
      <c r="J26" s="3"/>
      <c r="K26" s="3"/>
      <c r="L26" s="3"/>
    </row>
    <row r="27" spans="1:12" ht="15" customHeight="1" x14ac:dyDescent="0.2">
      <c r="A27" s="3"/>
      <c r="B27" s="3"/>
      <c r="C27" s="3"/>
      <c r="D27" s="3"/>
      <c r="E27" s="3"/>
      <c r="F27" s="3"/>
      <c r="G27" s="3"/>
      <c r="H27" s="3"/>
      <c r="I27" s="3"/>
      <c r="J27" s="3"/>
      <c r="K27" s="3"/>
      <c r="L27" s="3"/>
    </row>
    <row r="28" spans="1:12" ht="15" customHeight="1" x14ac:dyDescent="0.2">
      <c r="A28" s="293" t="s">
        <v>772</v>
      </c>
      <c r="B28" s="293"/>
      <c r="C28" s="293"/>
      <c r="D28" s="293"/>
      <c r="E28" s="3"/>
      <c r="F28" s="3"/>
      <c r="G28" s="3"/>
      <c r="H28" s="3"/>
      <c r="I28" s="3"/>
      <c r="J28" s="3"/>
      <c r="K28" s="3"/>
      <c r="L28" s="3"/>
    </row>
    <row r="29" spans="1:12" ht="15" customHeight="1" x14ac:dyDescent="0.2">
      <c r="A29" s="144" t="s">
        <v>27</v>
      </c>
      <c r="B29" s="144" t="s">
        <v>2</v>
      </c>
      <c r="C29" s="3"/>
      <c r="D29" s="3"/>
      <c r="E29" s="3"/>
      <c r="F29" s="3"/>
      <c r="G29" s="3"/>
      <c r="H29" s="3"/>
      <c r="I29" s="3"/>
      <c r="J29" s="3"/>
      <c r="K29" s="3"/>
      <c r="L29" s="3"/>
    </row>
    <row r="30" spans="1:12" ht="15" customHeight="1" x14ac:dyDescent="0.2">
      <c r="A30" s="144" t="s">
        <v>32</v>
      </c>
      <c r="B30" s="145">
        <f>COUNTIF(C5:C25,"PI-1*")</f>
        <v>9</v>
      </c>
      <c r="C30" s="3"/>
      <c r="D30" s="3"/>
      <c r="E30" s="3"/>
      <c r="F30" s="3"/>
      <c r="G30" s="3"/>
      <c r="H30" s="3"/>
      <c r="I30" s="3"/>
      <c r="J30" s="3"/>
      <c r="K30" s="3"/>
      <c r="L30" s="3"/>
    </row>
    <row r="31" spans="1:12" ht="15" customHeight="1" x14ac:dyDescent="0.2">
      <c r="A31" s="144" t="s">
        <v>36</v>
      </c>
      <c r="B31" s="145">
        <f>COUNTIF(C5:C25,"PI-2*")</f>
        <v>5</v>
      </c>
      <c r="C31" s="3"/>
      <c r="D31" s="3"/>
      <c r="E31" s="3"/>
      <c r="F31" s="3"/>
      <c r="G31" s="3"/>
      <c r="H31" s="3"/>
      <c r="I31" s="3"/>
      <c r="J31" s="3"/>
      <c r="K31" s="3"/>
      <c r="L31" s="3"/>
    </row>
    <row r="32" spans="1:12" ht="15" customHeight="1" x14ac:dyDescent="0.2">
      <c r="A32" s="144" t="s">
        <v>40</v>
      </c>
      <c r="B32" s="145">
        <f>COUNTIF(C5:C25,"PI-3*")</f>
        <v>7</v>
      </c>
      <c r="C32" s="3"/>
      <c r="D32" s="3"/>
      <c r="E32" s="3"/>
      <c r="F32" s="3"/>
      <c r="G32" s="3"/>
      <c r="H32" s="3"/>
      <c r="I32" s="3"/>
      <c r="J32" s="3"/>
      <c r="K32" s="3"/>
      <c r="L32" s="3"/>
    </row>
    <row r="33" spans="1:12" ht="15" customHeight="1" x14ac:dyDescent="0.2">
      <c r="A33" s="144" t="s">
        <v>24</v>
      </c>
      <c r="B33" s="145">
        <f>COUNTA(A5:A25)</f>
        <v>21</v>
      </c>
      <c r="C33" s="3"/>
      <c r="D33" s="3"/>
      <c r="E33" s="3"/>
      <c r="F33" s="3"/>
      <c r="G33" s="3"/>
      <c r="H33" s="3"/>
      <c r="I33" s="3"/>
      <c r="J33" s="3"/>
      <c r="K33" s="3"/>
      <c r="L33" s="3"/>
    </row>
  </sheetData>
  <autoFilter ref="A4:L25" xr:uid="{00000000-0009-0000-0000-000006000000}"/>
  <mergeCells count="3">
    <mergeCell ref="A1:B1"/>
    <mergeCell ref="A3:L3"/>
    <mergeCell ref="A28:D28"/>
  </mergeCells>
  <dataValidations count="1">
    <dataValidation type="list" allowBlank="1" sqref="C5:C25" xr:uid="{00000000-0002-0000-0600-000000000000}">
      <formula1>"PI-1,PI-1 (Done),PI-1 (reliquat),PI-2,PI-3"</formula1>
      <formula2>0</formula2>
    </dataValidation>
  </dataValidations>
  <hyperlinks>
    <hyperlink ref="A1" location="Dashboard!A1" display="← Dashboard" xr:uid="{00000000-0004-0000-0600-000000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6"/>
  <sheetViews>
    <sheetView tabSelected="1" zoomScale="106" zoomScaleNormal="106" workbookViewId="0">
      <pane ySplit="4" topLeftCell="A5" activePane="bottomLeft" state="frozen"/>
      <selection pane="bottomLeft" activeCell="C5" sqref="C5"/>
    </sheetView>
  </sheetViews>
  <sheetFormatPr baseColWidth="10" defaultColWidth="8.6640625" defaultRowHeight="15" customHeight="1" x14ac:dyDescent="0.2"/>
  <cols>
    <col min="1" max="1" width="16.5" customWidth="1"/>
    <col min="2" max="2" width="13.33203125" customWidth="1"/>
    <col min="3" max="3" width="41.6640625" customWidth="1"/>
    <col min="4" max="4" width="11.6640625" customWidth="1"/>
    <col min="5" max="5" width="8.33203125" customWidth="1"/>
    <col min="6" max="6" width="10" customWidth="1"/>
    <col min="7" max="7" width="13.33203125" customWidth="1"/>
    <col min="8" max="8" width="25" customWidth="1"/>
    <col min="9" max="9" width="23.33203125" customWidth="1"/>
    <col min="10" max="10" width="10" customWidth="1"/>
  </cols>
  <sheetData>
    <row r="1" spans="1:10" ht="15" customHeight="1" x14ac:dyDescent="0.2">
      <c r="A1" s="292" t="s">
        <v>70</v>
      </c>
      <c r="B1" s="292"/>
      <c r="C1" s="292"/>
      <c r="D1" s="292"/>
      <c r="E1" s="292"/>
      <c r="F1" s="292"/>
      <c r="G1" s="292"/>
      <c r="H1" s="292"/>
      <c r="I1" s="3"/>
      <c r="J1" s="3"/>
    </row>
    <row r="2" spans="1:10" ht="15" customHeight="1" x14ac:dyDescent="0.2">
      <c r="A2" s="81"/>
      <c r="B2" s="81"/>
      <c r="C2" s="81"/>
      <c r="D2" s="81"/>
      <c r="E2" s="81"/>
      <c r="F2" s="81"/>
      <c r="G2" s="81"/>
      <c r="H2" s="81"/>
      <c r="I2" s="3"/>
      <c r="J2" s="3"/>
    </row>
    <row r="3" spans="1:10" ht="15" customHeight="1" x14ac:dyDescent="0.2">
      <c r="A3" s="285" t="s">
        <v>773</v>
      </c>
      <c r="B3" s="285"/>
      <c r="C3" s="285"/>
      <c r="D3" s="285"/>
      <c r="E3" s="285"/>
      <c r="F3" s="285"/>
      <c r="G3" s="285"/>
      <c r="H3" s="285"/>
      <c r="I3" s="3"/>
      <c r="J3" s="3"/>
    </row>
    <row r="4" spans="1:10" ht="27.75" customHeight="1" x14ac:dyDescent="0.2">
      <c r="A4" s="127" t="s">
        <v>190</v>
      </c>
      <c r="B4" s="127" t="s">
        <v>774</v>
      </c>
      <c r="C4" s="127" t="s">
        <v>192</v>
      </c>
      <c r="D4" s="127" t="s">
        <v>775</v>
      </c>
      <c r="E4" s="127" t="s">
        <v>776</v>
      </c>
      <c r="F4" s="127" t="s">
        <v>777</v>
      </c>
      <c r="G4" s="127" t="s">
        <v>367</v>
      </c>
      <c r="H4" s="127" t="s">
        <v>778</v>
      </c>
      <c r="I4" s="127" t="s">
        <v>27</v>
      </c>
      <c r="J4" s="127" t="s">
        <v>45</v>
      </c>
    </row>
    <row r="5" spans="1:10" ht="24" customHeight="1" x14ac:dyDescent="0.2">
      <c r="A5" s="128" t="s">
        <v>592</v>
      </c>
      <c r="B5" s="132" t="s">
        <v>779</v>
      </c>
      <c r="C5" s="129" t="s">
        <v>780</v>
      </c>
      <c r="D5" s="131">
        <f>COUNTIF('User Stories'!B:B,B5)</f>
        <v>3</v>
      </c>
      <c r="E5" s="131">
        <f>SUMIF('User Stories'!B:B,B5,'User Stories'!E:E)</f>
        <v>7</v>
      </c>
      <c r="F5" s="130">
        <v>1</v>
      </c>
      <c r="G5" s="132" t="s">
        <v>19</v>
      </c>
      <c r="H5" s="140"/>
      <c r="I5" s="130" t="s">
        <v>781</v>
      </c>
      <c r="J5" s="132" t="s">
        <v>48</v>
      </c>
    </row>
    <row r="6" spans="1:10" ht="24" customHeight="1" x14ac:dyDescent="0.2">
      <c r="A6" s="128" t="s">
        <v>592</v>
      </c>
      <c r="B6" s="132" t="s">
        <v>782</v>
      </c>
      <c r="C6" s="129" t="s">
        <v>783</v>
      </c>
      <c r="D6" s="131">
        <f>COUNTIF('User Stories'!B:B,B6)</f>
        <v>3</v>
      </c>
      <c r="E6" s="131">
        <f>SUMIF('User Stories'!B:B,B6,'User Stories'!E:E)</f>
        <v>7</v>
      </c>
      <c r="F6" s="130">
        <v>1</v>
      </c>
      <c r="G6" s="132" t="s">
        <v>19</v>
      </c>
      <c r="H6" s="140"/>
      <c r="I6" s="130" t="s">
        <v>781</v>
      </c>
      <c r="J6" s="132" t="s">
        <v>47</v>
      </c>
    </row>
    <row r="7" spans="1:10" ht="24" customHeight="1" x14ac:dyDescent="0.2">
      <c r="A7" s="128" t="s">
        <v>592</v>
      </c>
      <c r="B7" s="132" t="s">
        <v>784</v>
      </c>
      <c r="C7" s="129" t="s">
        <v>785</v>
      </c>
      <c r="D7" s="131">
        <f>COUNTIF('User Stories'!B:B,B7)</f>
        <v>2</v>
      </c>
      <c r="E7" s="131">
        <f>SUMIF('User Stories'!B:B,B7,'User Stories'!E:E)</f>
        <v>5</v>
      </c>
      <c r="F7" s="130">
        <v>1</v>
      </c>
      <c r="G7" s="132" t="s">
        <v>19</v>
      </c>
      <c r="H7" s="140"/>
      <c r="I7" s="130" t="s">
        <v>781</v>
      </c>
      <c r="J7" s="132" t="s">
        <v>47</v>
      </c>
    </row>
    <row r="8" spans="1:10" ht="24" customHeight="1" x14ac:dyDescent="0.2">
      <c r="A8" s="133" t="s">
        <v>608</v>
      </c>
      <c r="B8" s="137" t="s">
        <v>786</v>
      </c>
      <c r="C8" s="134" t="s">
        <v>787</v>
      </c>
      <c r="D8" s="136">
        <f>COUNTIF('User Stories'!B:B,B8)</f>
        <v>2</v>
      </c>
      <c r="E8" s="136">
        <f>SUMIF('User Stories'!B:B,B8,'User Stories'!E:E)</f>
        <v>8</v>
      </c>
      <c r="F8" s="135">
        <v>1</v>
      </c>
      <c r="G8" s="137" t="s">
        <v>19</v>
      </c>
      <c r="H8" s="143"/>
      <c r="I8" s="135" t="s">
        <v>781</v>
      </c>
      <c r="J8" s="137" t="s">
        <v>47</v>
      </c>
    </row>
    <row r="9" spans="1:10" ht="24" customHeight="1" x14ac:dyDescent="0.2">
      <c r="A9" s="128" t="s">
        <v>587</v>
      </c>
      <c r="B9" s="132" t="s">
        <v>788</v>
      </c>
      <c r="C9" s="129" t="s">
        <v>789</v>
      </c>
      <c r="D9" s="131">
        <f>COUNTIF('User Stories'!B:B,B9)</f>
        <v>2</v>
      </c>
      <c r="E9" s="131">
        <f>SUMIF('User Stories'!B:B,B9,'User Stories'!E:E)</f>
        <v>5</v>
      </c>
      <c r="F9" s="130">
        <v>1</v>
      </c>
      <c r="G9" s="132" t="s">
        <v>19</v>
      </c>
      <c r="H9" s="140"/>
      <c r="I9" s="130" t="s">
        <v>781</v>
      </c>
      <c r="J9" s="132" t="s">
        <v>48</v>
      </c>
    </row>
    <row r="10" spans="1:10" ht="24" customHeight="1" x14ac:dyDescent="0.2">
      <c r="A10" s="128" t="s">
        <v>587</v>
      </c>
      <c r="B10" s="132" t="s">
        <v>790</v>
      </c>
      <c r="C10" s="129" t="s">
        <v>791</v>
      </c>
      <c r="D10" s="131">
        <f>COUNTIF('User Stories'!B:B,B10)</f>
        <v>2</v>
      </c>
      <c r="E10" s="131">
        <f>SUMIF('User Stories'!B:B,B10,'User Stories'!E:E)</f>
        <v>3</v>
      </c>
      <c r="F10" s="130">
        <v>1</v>
      </c>
      <c r="G10" s="132" t="s">
        <v>19</v>
      </c>
      <c r="H10" s="140"/>
      <c r="I10" s="130" t="s">
        <v>781</v>
      </c>
      <c r="J10" s="132" t="s">
        <v>48</v>
      </c>
    </row>
    <row r="11" spans="1:10" ht="24" customHeight="1" x14ac:dyDescent="0.2">
      <c r="A11" s="133" t="s">
        <v>611</v>
      </c>
      <c r="B11" s="137" t="s">
        <v>792</v>
      </c>
      <c r="C11" s="134" t="s">
        <v>793</v>
      </c>
      <c r="D11" s="136">
        <f>COUNTIF('User Stories'!B:B,B11)</f>
        <v>3</v>
      </c>
      <c r="E11" s="136">
        <f>SUMIF('User Stories'!B:B,B11,'User Stories'!E:E)</f>
        <v>7</v>
      </c>
      <c r="F11" s="135">
        <v>1</v>
      </c>
      <c r="G11" s="137" t="s">
        <v>16</v>
      </c>
      <c r="H11" s="143"/>
      <c r="I11" s="135" t="s">
        <v>781</v>
      </c>
      <c r="J11" s="137" t="s">
        <v>47</v>
      </c>
    </row>
    <row r="12" spans="1:10" ht="24" customHeight="1" x14ac:dyDescent="0.2">
      <c r="A12" s="133" t="s">
        <v>611</v>
      </c>
      <c r="B12" s="137" t="s">
        <v>794</v>
      </c>
      <c r="C12" s="134" t="s">
        <v>795</v>
      </c>
      <c r="D12" s="136">
        <f>COUNTIF('User Stories'!B:B,B12)</f>
        <v>2</v>
      </c>
      <c r="E12" s="136">
        <f>SUMIF('User Stories'!B:B,B12,'User Stories'!E:E)</f>
        <v>5</v>
      </c>
      <c r="F12" s="135">
        <v>1</v>
      </c>
      <c r="G12" s="137" t="s">
        <v>16</v>
      </c>
      <c r="H12" s="143"/>
      <c r="I12" s="135" t="s">
        <v>781</v>
      </c>
      <c r="J12" s="137" t="s">
        <v>48</v>
      </c>
    </row>
    <row r="13" spans="1:10" ht="24" customHeight="1" x14ac:dyDescent="0.2">
      <c r="A13" s="128" t="s">
        <v>624</v>
      </c>
      <c r="B13" s="132" t="s">
        <v>796</v>
      </c>
      <c r="C13" s="129" t="s">
        <v>797</v>
      </c>
      <c r="D13" s="131">
        <f>COUNTIF('User Stories'!B:B,B13)</f>
        <v>2</v>
      </c>
      <c r="E13" s="131">
        <f>SUMIF('User Stories'!B:B,B13,'User Stories'!E:E)</f>
        <v>8</v>
      </c>
      <c r="F13" s="130">
        <v>1</v>
      </c>
      <c r="G13" s="132" t="s">
        <v>19</v>
      </c>
      <c r="H13" s="140"/>
      <c r="I13" s="130" t="s">
        <v>798</v>
      </c>
      <c r="J13" s="132" t="s">
        <v>51</v>
      </c>
    </row>
    <row r="14" spans="1:10" ht="24" customHeight="1" x14ac:dyDescent="0.2">
      <c r="A14" s="133" t="s">
        <v>615</v>
      </c>
      <c r="B14" s="137" t="s">
        <v>799</v>
      </c>
      <c r="C14" s="134" t="s">
        <v>800</v>
      </c>
      <c r="D14" s="136">
        <f>COUNTIF('User Stories'!B:B,B14)</f>
        <v>3</v>
      </c>
      <c r="E14" s="136">
        <f>SUMIF('User Stories'!B:B,B14,'User Stories'!E:E)</f>
        <v>12</v>
      </c>
      <c r="F14" s="135">
        <v>1</v>
      </c>
      <c r="G14" s="137" t="s">
        <v>19</v>
      </c>
      <c r="H14" s="143"/>
      <c r="I14" s="135" t="s">
        <v>781</v>
      </c>
      <c r="J14" s="137" t="s">
        <v>47</v>
      </c>
    </row>
    <row r="15" spans="1:10" ht="24" customHeight="1" x14ac:dyDescent="0.2">
      <c r="A15" s="133" t="s">
        <v>615</v>
      </c>
      <c r="B15" s="137" t="s">
        <v>801</v>
      </c>
      <c r="C15" s="134" t="s">
        <v>802</v>
      </c>
      <c r="D15" s="136">
        <f>COUNTIF('User Stories'!B:B,B15)</f>
        <v>2</v>
      </c>
      <c r="E15" s="136">
        <f>SUMIF('User Stories'!B:B,B15,'User Stories'!E:E)</f>
        <v>5</v>
      </c>
      <c r="F15" s="135">
        <v>1</v>
      </c>
      <c r="G15" s="137" t="s">
        <v>19</v>
      </c>
      <c r="H15" s="143"/>
      <c r="I15" s="135" t="s">
        <v>781</v>
      </c>
      <c r="J15" s="137" t="s">
        <v>48</v>
      </c>
    </row>
    <row r="16" spans="1:10" ht="24" customHeight="1" x14ac:dyDescent="0.2">
      <c r="A16" s="128" t="s">
        <v>600</v>
      </c>
      <c r="B16" s="132" t="s">
        <v>803</v>
      </c>
      <c r="C16" s="129" t="s">
        <v>804</v>
      </c>
      <c r="D16" s="131">
        <f>COUNTIF('User Stories'!B:B,B16)</f>
        <v>3</v>
      </c>
      <c r="E16" s="131">
        <f>SUMIF('User Stories'!B:B,B16,'User Stories'!E:E)</f>
        <v>10</v>
      </c>
      <c r="F16" s="130">
        <v>1</v>
      </c>
      <c r="G16" s="132" t="s">
        <v>16</v>
      </c>
      <c r="H16" s="140"/>
      <c r="I16" s="130" t="s">
        <v>781</v>
      </c>
      <c r="J16" s="132" t="s">
        <v>48</v>
      </c>
    </row>
    <row r="17" spans="1:10" ht="24" customHeight="1" x14ac:dyDescent="0.2">
      <c r="A17" s="128" t="s">
        <v>600</v>
      </c>
      <c r="B17" s="132" t="s">
        <v>805</v>
      </c>
      <c r="C17" s="129" t="s">
        <v>806</v>
      </c>
      <c r="D17" s="131">
        <f>COUNTIF('User Stories'!B:B,B17)</f>
        <v>3</v>
      </c>
      <c r="E17" s="131">
        <f>SUMIF('User Stories'!B:B,B17,'User Stories'!E:E)</f>
        <v>8</v>
      </c>
      <c r="F17" s="130">
        <v>1</v>
      </c>
      <c r="G17" s="132" t="s">
        <v>16</v>
      </c>
      <c r="H17" s="140"/>
      <c r="I17" s="130" t="s">
        <v>781</v>
      </c>
      <c r="J17" s="132" t="s">
        <v>47</v>
      </c>
    </row>
    <row r="18" spans="1:10" ht="24" customHeight="1" x14ac:dyDescent="0.2">
      <c r="A18" s="133" t="s">
        <v>595</v>
      </c>
      <c r="B18" s="137" t="s">
        <v>807</v>
      </c>
      <c r="C18" s="134" t="s">
        <v>808</v>
      </c>
      <c r="D18" s="136">
        <f>COUNTIF('User Stories'!B:B,B18)</f>
        <v>2</v>
      </c>
      <c r="E18" s="136">
        <f>SUMIF('User Stories'!B:B,B18,'User Stories'!E:E)</f>
        <v>8</v>
      </c>
      <c r="F18" s="135">
        <v>1</v>
      </c>
      <c r="G18" s="137" t="s">
        <v>16</v>
      </c>
      <c r="H18" s="143"/>
      <c r="I18" s="135" t="s">
        <v>781</v>
      </c>
      <c r="J18" s="137" t="s">
        <v>47</v>
      </c>
    </row>
    <row r="19" spans="1:10" ht="24" customHeight="1" x14ac:dyDescent="0.2">
      <c r="A19" s="133" t="s">
        <v>595</v>
      </c>
      <c r="B19" s="137" t="s">
        <v>809</v>
      </c>
      <c r="C19" s="134" t="s">
        <v>810</v>
      </c>
      <c r="D19" s="136">
        <f>COUNTIF('User Stories'!B:B,B19)</f>
        <v>3</v>
      </c>
      <c r="E19" s="136">
        <f>SUMIF('User Stories'!B:B,B19,'User Stories'!E:E)</f>
        <v>11</v>
      </c>
      <c r="F19" s="135">
        <v>1</v>
      </c>
      <c r="G19" s="137" t="s">
        <v>16</v>
      </c>
      <c r="H19" s="143"/>
      <c r="I19" s="135" t="s">
        <v>781</v>
      </c>
      <c r="J19" s="137" t="s">
        <v>48</v>
      </c>
    </row>
    <row r="20" spans="1:10" ht="24" customHeight="1" x14ac:dyDescent="0.2">
      <c r="A20" s="128" t="s">
        <v>618</v>
      </c>
      <c r="B20" s="132" t="s">
        <v>811</v>
      </c>
      <c r="C20" s="129" t="s">
        <v>812</v>
      </c>
      <c r="D20" s="131">
        <f>COUNTIF('User Stories'!B:B,B20)</f>
        <v>2</v>
      </c>
      <c r="E20" s="131">
        <f>SUMIF('User Stories'!B:B,B20,'User Stories'!E:E)</f>
        <v>10</v>
      </c>
      <c r="F20" s="130">
        <v>1</v>
      </c>
      <c r="G20" s="132" t="s">
        <v>16</v>
      </c>
      <c r="H20" s="140"/>
      <c r="I20" s="130" t="s">
        <v>781</v>
      </c>
      <c r="J20" s="132" t="s">
        <v>48</v>
      </c>
    </row>
    <row r="21" spans="1:10" ht="24" customHeight="1" x14ac:dyDescent="0.2">
      <c r="A21" s="128" t="s">
        <v>618</v>
      </c>
      <c r="B21" s="132" t="s">
        <v>813</v>
      </c>
      <c r="C21" s="129" t="s">
        <v>814</v>
      </c>
      <c r="D21" s="131">
        <f>COUNTIF('User Stories'!B:B,B21)</f>
        <v>2</v>
      </c>
      <c r="E21" s="131">
        <f>SUMIF('User Stories'!B:B,B21,'User Stories'!E:E)</f>
        <v>10</v>
      </c>
      <c r="F21" s="130">
        <v>1</v>
      </c>
      <c r="G21" s="132" t="s">
        <v>16</v>
      </c>
      <c r="H21" s="140"/>
      <c r="I21" s="130" t="s">
        <v>781</v>
      </c>
      <c r="J21" s="132" t="s">
        <v>46</v>
      </c>
    </row>
    <row r="22" spans="1:10" ht="24" customHeight="1" x14ac:dyDescent="0.2">
      <c r="A22" s="133" t="s">
        <v>605</v>
      </c>
      <c r="B22" s="137" t="s">
        <v>815</v>
      </c>
      <c r="C22" s="134" t="s">
        <v>816</v>
      </c>
      <c r="D22" s="136">
        <f>COUNTIF('User Stories'!B:B,B22)</f>
        <v>2</v>
      </c>
      <c r="E22" s="136">
        <f>SUMIF('User Stories'!B:B,B22,'User Stories'!E:E)</f>
        <v>5</v>
      </c>
      <c r="F22" s="135">
        <v>1</v>
      </c>
      <c r="G22" s="137" t="s">
        <v>19</v>
      </c>
      <c r="H22" s="143"/>
      <c r="I22" s="135" t="s">
        <v>781</v>
      </c>
      <c r="J22" s="137" t="s">
        <v>48</v>
      </c>
    </row>
    <row r="23" spans="1:10" ht="24" customHeight="1" x14ac:dyDescent="0.2">
      <c r="A23" s="133" t="s">
        <v>605</v>
      </c>
      <c r="B23" s="137" t="s">
        <v>817</v>
      </c>
      <c r="C23" s="134" t="s">
        <v>818</v>
      </c>
      <c r="D23" s="136">
        <f>COUNTIF('User Stories'!B:B,B23)</f>
        <v>2</v>
      </c>
      <c r="E23" s="136">
        <f>SUMIF('User Stories'!B:B,B23,'User Stories'!E:E)</f>
        <v>8</v>
      </c>
      <c r="F23" s="135">
        <v>1</v>
      </c>
      <c r="G23" s="137" t="s">
        <v>16</v>
      </c>
      <c r="H23" s="143"/>
      <c r="I23" s="135" t="s">
        <v>781</v>
      </c>
      <c r="J23" s="137" t="s">
        <v>46</v>
      </c>
    </row>
    <row r="24" spans="1:10" ht="24" customHeight="1" x14ac:dyDescent="0.2">
      <c r="A24" s="128" t="s">
        <v>630</v>
      </c>
      <c r="B24" s="132" t="s">
        <v>819</v>
      </c>
      <c r="C24" s="129" t="s">
        <v>820</v>
      </c>
      <c r="D24" s="131">
        <f>COUNTIF('User Stories'!B:B,B24)</f>
        <v>2</v>
      </c>
      <c r="E24" s="131">
        <f>SUMIF('User Stories'!B:B,B24,'User Stories'!E:E)</f>
        <v>8</v>
      </c>
      <c r="F24" s="130">
        <v>1</v>
      </c>
      <c r="G24" s="132" t="s">
        <v>19</v>
      </c>
      <c r="H24" s="140"/>
      <c r="I24" s="130" t="s">
        <v>798</v>
      </c>
      <c r="J24" s="132" t="s">
        <v>51</v>
      </c>
    </row>
    <row r="25" spans="1:10" ht="24" customHeight="1" x14ac:dyDescent="0.2">
      <c r="A25" s="128" t="s">
        <v>630</v>
      </c>
      <c r="B25" s="132" t="s">
        <v>821</v>
      </c>
      <c r="C25" s="129" t="s">
        <v>822</v>
      </c>
      <c r="D25" s="131">
        <f>COUNTIF('User Stories'!B:B,B25)</f>
        <v>2</v>
      </c>
      <c r="E25" s="131">
        <f>SUMIF('User Stories'!B:B,B25,'User Stories'!E:E)</f>
        <v>5</v>
      </c>
      <c r="F25" s="130">
        <v>1</v>
      </c>
      <c r="G25" s="132" t="s">
        <v>19</v>
      </c>
      <c r="H25" s="140"/>
      <c r="I25" s="130" t="s">
        <v>798</v>
      </c>
      <c r="J25" s="132" t="s">
        <v>50</v>
      </c>
    </row>
    <row r="26" spans="1:10" ht="24" customHeight="1" x14ac:dyDescent="0.2">
      <c r="A26" s="133" t="s">
        <v>651</v>
      </c>
      <c r="B26" s="137" t="s">
        <v>823</v>
      </c>
      <c r="C26" s="134" t="s">
        <v>824</v>
      </c>
      <c r="D26" s="136">
        <f>COUNTIF('User Stories'!B:B,B26)</f>
        <v>2</v>
      </c>
      <c r="E26" s="136">
        <f>SUMIF('User Stories'!B:B,B26,'User Stories'!E:E)</f>
        <v>8</v>
      </c>
      <c r="F26" s="135">
        <v>1</v>
      </c>
      <c r="G26" s="137" t="s">
        <v>19</v>
      </c>
      <c r="H26" s="143"/>
      <c r="I26" s="135" t="s">
        <v>825</v>
      </c>
      <c r="J26" s="137" t="s">
        <v>50</v>
      </c>
    </row>
    <row r="27" spans="1:10" ht="24" customHeight="1" x14ac:dyDescent="0.2">
      <c r="A27" s="128" t="s">
        <v>645</v>
      </c>
      <c r="B27" s="132" t="s">
        <v>826</v>
      </c>
      <c r="C27" s="129" t="s">
        <v>827</v>
      </c>
      <c r="D27" s="131">
        <f>COUNTIF('User Stories'!B:B,B27)</f>
        <v>2</v>
      </c>
      <c r="E27" s="131">
        <f>SUMIF('User Stories'!B:B,B27,'User Stories'!E:E)</f>
        <v>5</v>
      </c>
      <c r="F27" s="130">
        <v>1</v>
      </c>
      <c r="G27" s="132" t="s">
        <v>19</v>
      </c>
      <c r="H27" s="140"/>
      <c r="I27" s="130" t="s">
        <v>825</v>
      </c>
      <c r="J27" s="132" t="s">
        <v>50</v>
      </c>
    </row>
    <row r="28" spans="1:10" ht="24" customHeight="1" x14ac:dyDescent="0.2">
      <c r="A28" s="133" t="s">
        <v>633</v>
      </c>
      <c r="B28" s="137" t="s">
        <v>828</v>
      </c>
      <c r="C28" s="134" t="s">
        <v>829</v>
      </c>
      <c r="D28" s="136">
        <f>COUNTIF('User Stories'!B:B,B28)</f>
        <v>2</v>
      </c>
      <c r="E28" s="136">
        <f>SUMIF('User Stories'!B:B,B28,'User Stories'!E:E)</f>
        <v>4</v>
      </c>
      <c r="F28" s="135">
        <v>1</v>
      </c>
      <c r="G28" s="137" t="s">
        <v>19</v>
      </c>
      <c r="H28" s="143"/>
      <c r="I28" s="135" t="s">
        <v>798</v>
      </c>
      <c r="J28" s="137" t="s">
        <v>51</v>
      </c>
    </row>
    <row r="29" spans="1:10" ht="24" customHeight="1" x14ac:dyDescent="0.2">
      <c r="A29" s="128" t="s">
        <v>608</v>
      </c>
      <c r="B29" s="132" t="s">
        <v>830</v>
      </c>
      <c r="C29" s="129" t="s">
        <v>831</v>
      </c>
      <c r="D29" s="131">
        <f>COUNTIF('User Stories'!B:B,B29)</f>
        <v>2</v>
      </c>
      <c r="E29" s="131">
        <f>SUMIF('User Stories'!B:B,B29,'User Stories'!E:E)</f>
        <v>5</v>
      </c>
      <c r="F29" s="130">
        <v>2</v>
      </c>
      <c r="G29" s="132" t="s">
        <v>19</v>
      </c>
      <c r="H29" s="140"/>
      <c r="I29" s="130" t="s">
        <v>798</v>
      </c>
      <c r="J29" s="132"/>
    </row>
    <row r="30" spans="1:10" ht="24" customHeight="1" x14ac:dyDescent="0.2">
      <c r="A30" s="133" t="s">
        <v>587</v>
      </c>
      <c r="B30" s="137" t="s">
        <v>832</v>
      </c>
      <c r="C30" s="134" t="s">
        <v>833</v>
      </c>
      <c r="D30" s="136">
        <f>COUNTIF('User Stories'!B:B,B30)</f>
        <v>2</v>
      </c>
      <c r="E30" s="136">
        <f>SUMIF('User Stories'!B:B,B30,'User Stories'!E:E)</f>
        <v>5</v>
      </c>
      <c r="F30" s="135">
        <v>2</v>
      </c>
      <c r="G30" s="137" t="s">
        <v>19</v>
      </c>
      <c r="H30" s="143"/>
      <c r="I30" s="135" t="s">
        <v>798</v>
      </c>
      <c r="J30" s="137"/>
    </row>
    <row r="31" spans="1:10" ht="24" customHeight="1" x14ac:dyDescent="0.2">
      <c r="A31" s="128" t="s">
        <v>624</v>
      </c>
      <c r="B31" s="132" t="s">
        <v>834</v>
      </c>
      <c r="C31" s="129" t="s">
        <v>835</v>
      </c>
      <c r="D31" s="131">
        <f>COUNTIF('User Stories'!B:B,B31)</f>
        <v>2</v>
      </c>
      <c r="E31" s="131">
        <f>SUMIF('User Stories'!B:B,B31,'User Stories'!E:E)</f>
        <v>6</v>
      </c>
      <c r="F31" s="130">
        <v>2</v>
      </c>
      <c r="G31" s="132" t="s">
        <v>19</v>
      </c>
      <c r="H31" s="140"/>
      <c r="I31" s="130" t="s">
        <v>798</v>
      </c>
      <c r="J31" s="132"/>
    </row>
    <row r="32" spans="1:10" ht="24" customHeight="1" x14ac:dyDescent="0.2">
      <c r="A32" s="133" t="s">
        <v>600</v>
      </c>
      <c r="B32" s="137" t="s">
        <v>836</v>
      </c>
      <c r="C32" s="134" t="s">
        <v>837</v>
      </c>
      <c r="D32" s="136">
        <f>COUNTIF('User Stories'!B:B,B32)</f>
        <v>2</v>
      </c>
      <c r="E32" s="136">
        <f>SUMIF('User Stories'!B:B,B32,'User Stories'!E:E)</f>
        <v>5</v>
      </c>
      <c r="F32" s="135">
        <v>2</v>
      </c>
      <c r="G32" s="137" t="s">
        <v>19</v>
      </c>
      <c r="H32" s="143"/>
      <c r="I32" s="135" t="s">
        <v>798</v>
      </c>
      <c r="J32" s="137"/>
    </row>
    <row r="33" spans="1:10" ht="24" customHeight="1" x14ac:dyDescent="0.2">
      <c r="A33" s="128" t="s">
        <v>648</v>
      </c>
      <c r="B33" s="132" t="s">
        <v>838</v>
      </c>
      <c r="C33" s="129" t="s">
        <v>839</v>
      </c>
      <c r="D33" s="131">
        <f>COUNTIF('User Stories'!B:B,B33)</f>
        <v>2</v>
      </c>
      <c r="E33" s="131">
        <f>SUMIF('User Stories'!B:B,B33,'User Stories'!E:E)</f>
        <v>6</v>
      </c>
      <c r="F33" s="130">
        <v>2</v>
      </c>
      <c r="G33" s="132" t="s">
        <v>19</v>
      </c>
      <c r="H33" s="140"/>
      <c r="I33" s="130" t="s">
        <v>825</v>
      </c>
      <c r="J33" s="132"/>
    </row>
    <row r="34" spans="1:10" ht="24" customHeight="1" x14ac:dyDescent="0.2">
      <c r="A34" s="133" t="s">
        <v>621</v>
      </c>
      <c r="B34" s="137" t="s">
        <v>840</v>
      </c>
      <c r="C34" s="134" t="s">
        <v>841</v>
      </c>
      <c r="D34" s="136">
        <f>COUNTIF('User Stories'!B:B,B34)</f>
        <v>2</v>
      </c>
      <c r="E34" s="136">
        <f>SUMIF('User Stories'!B:B,B34,'User Stories'!E:E)</f>
        <v>8</v>
      </c>
      <c r="F34" s="135">
        <v>2</v>
      </c>
      <c r="G34" s="137" t="s">
        <v>19</v>
      </c>
      <c r="H34" s="143"/>
      <c r="I34" s="135" t="s">
        <v>798</v>
      </c>
      <c r="J34" s="137"/>
    </row>
    <row r="35" spans="1:10" ht="24" customHeight="1" x14ac:dyDescent="0.2">
      <c r="A35" s="128" t="s">
        <v>627</v>
      </c>
      <c r="B35" s="132" t="s">
        <v>842</v>
      </c>
      <c r="C35" s="129" t="s">
        <v>843</v>
      </c>
      <c r="D35" s="131">
        <f>COUNTIF('User Stories'!B:B,B35)</f>
        <v>2</v>
      </c>
      <c r="E35" s="131">
        <f>SUMIF('User Stories'!B:B,B35,'User Stories'!E:E)</f>
        <v>7</v>
      </c>
      <c r="F35" s="130">
        <v>2</v>
      </c>
      <c r="G35" s="132" t="s">
        <v>19</v>
      </c>
      <c r="H35" s="140"/>
      <c r="I35" s="130" t="s">
        <v>798</v>
      </c>
      <c r="J35" s="132"/>
    </row>
    <row r="36" spans="1:10" ht="24" customHeight="1" x14ac:dyDescent="0.2">
      <c r="A36" s="133" t="s">
        <v>636</v>
      </c>
      <c r="B36" s="137" t="s">
        <v>844</v>
      </c>
      <c r="C36" s="134" t="s">
        <v>845</v>
      </c>
      <c r="D36" s="136">
        <f>COUNTIF('User Stories'!B:B,B36)</f>
        <v>2</v>
      </c>
      <c r="E36" s="136">
        <f>SUMIF('User Stories'!B:B,B36,'User Stories'!E:E)</f>
        <v>8</v>
      </c>
      <c r="F36" s="135">
        <v>2</v>
      </c>
      <c r="G36" s="137" t="s">
        <v>19</v>
      </c>
      <c r="H36" s="143"/>
      <c r="I36" s="135" t="s">
        <v>825</v>
      </c>
      <c r="J36" s="137"/>
    </row>
    <row r="37" spans="1:10" ht="24" customHeight="1" x14ac:dyDescent="0.2">
      <c r="A37" s="128" t="s">
        <v>654</v>
      </c>
      <c r="B37" s="132" t="s">
        <v>846</v>
      </c>
      <c r="C37" s="129" t="s">
        <v>847</v>
      </c>
      <c r="D37" s="131">
        <f>COUNTIF('User Stories'!B:B,B37)</f>
        <v>2</v>
      </c>
      <c r="E37" s="131">
        <f>SUMIF('User Stories'!B:B,B37,'User Stories'!E:E)</f>
        <v>8</v>
      </c>
      <c r="F37" s="130">
        <v>3</v>
      </c>
      <c r="G37" s="132" t="s">
        <v>19</v>
      </c>
      <c r="H37" s="140"/>
      <c r="I37" s="130" t="s">
        <v>825</v>
      </c>
      <c r="J37" s="132"/>
    </row>
    <row r="38" spans="1:10" ht="24" customHeight="1" x14ac:dyDescent="0.2">
      <c r="A38" s="133" t="s">
        <v>639</v>
      </c>
      <c r="B38" s="137" t="s">
        <v>848</v>
      </c>
      <c r="C38" s="134" t="s">
        <v>849</v>
      </c>
      <c r="D38" s="136">
        <f>COUNTIF('User Stories'!B:B,B38)</f>
        <v>2</v>
      </c>
      <c r="E38" s="136">
        <f>SUMIF('User Stories'!B:B,B38,'User Stories'!E:E)</f>
        <v>8</v>
      </c>
      <c r="F38" s="135">
        <v>3</v>
      </c>
      <c r="G38" s="137" t="s">
        <v>19</v>
      </c>
      <c r="H38" s="143"/>
      <c r="I38" s="135" t="s">
        <v>825</v>
      </c>
      <c r="J38" s="137"/>
    </row>
    <row r="39" spans="1:10" ht="24" customHeight="1" x14ac:dyDescent="0.2">
      <c r="A39" s="128" t="s">
        <v>642</v>
      </c>
      <c r="B39" s="132" t="s">
        <v>850</v>
      </c>
      <c r="C39" s="129" t="s">
        <v>851</v>
      </c>
      <c r="D39" s="131">
        <f>COUNTIF('User Stories'!B:B,B39)</f>
        <v>2</v>
      </c>
      <c r="E39" s="131">
        <f>SUMIF('User Stories'!B:B,B39,'User Stories'!E:E)</f>
        <v>8</v>
      </c>
      <c r="F39" s="130">
        <v>3</v>
      </c>
      <c r="G39" s="132" t="s">
        <v>19</v>
      </c>
      <c r="H39" s="140"/>
      <c r="I39" s="130" t="s">
        <v>825</v>
      </c>
      <c r="J39" s="132"/>
    </row>
    <row r="40" spans="1:10" ht="15" customHeight="1" x14ac:dyDescent="0.2">
      <c r="A40" s="3"/>
      <c r="B40" s="3"/>
      <c r="C40" s="3"/>
      <c r="D40" s="3"/>
      <c r="E40" s="3"/>
      <c r="F40" s="3"/>
      <c r="G40" s="3"/>
      <c r="H40" s="3"/>
      <c r="I40" s="3"/>
      <c r="J40" s="3"/>
    </row>
    <row r="41" spans="1:10" ht="15" customHeight="1" x14ac:dyDescent="0.2">
      <c r="A41" s="146" t="s">
        <v>852</v>
      </c>
      <c r="B41" s="147"/>
      <c r="C41" s="147"/>
      <c r="D41" s="147"/>
      <c r="E41" s="147"/>
      <c r="F41" s="3"/>
      <c r="G41" s="3"/>
      <c r="H41" s="3"/>
      <c r="I41" s="3"/>
      <c r="J41" s="3"/>
    </row>
    <row r="42" spans="1:10" ht="15" customHeight="1" x14ac:dyDescent="0.2">
      <c r="A42" s="148" t="s">
        <v>27</v>
      </c>
      <c r="B42" s="148" t="s">
        <v>3</v>
      </c>
      <c r="C42" s="148" t="s">
        <v>5</v>
      </c>
      <c r="D42" s="148" t="s">
        <v>16</v>
      </c>
      <c r="E42" s="148" t="s">
        <v>19</v>
      </c>
      <c r="F42" s="3"/>
      <c r="G42" s="3"/>
      <c r="H42" s="3"/>
      <c r="I42" s="3"/>
      <c r="J42" s="3"/>
    </row>
    <row r="43" spans="1:10" ht="15" customHeight="1" x14ac:dyDescent="0.2">
      <c r="A43" s="149" t="s">
        <v>781</v>
      </c>
      <c r="B43" s="149">
        <f>COUNTIF(I5:I39,"PI-1*")</f>
        <v>18</v>
      </c>
      <c r="C43" s="149">
        <f>SUMIF(I5:I39,"PI-1*",E5:E39)</f>
        <v>134</v>
      </c>
      <c r="D43" s="149">
        <f>COUNTIFS(I5:I39,"PI-1*",G5:G39,"Terminé")</f>
        <v>9</v>
      </c>
      <c r="E43" s="150">
        <f>COUNTIFS(I5:I39,"PI-1*",G5:G39,"Backlog")</f>
        <v>9</v>
      </c>
      <c r="F43" s="3"/>
      <c r="G43" s="3"/>
      <c r="H43" s="3"/>
      <c r="I43" s="3"/>
      <c r="J43" s="3"/>
    </row>
    <row r="44" spans="1:10" ht="15" customHeight="1" x14ac:dyDescent="0.2">
      <c r="A44" s="149" t="s">
        <v>798</v>
      </c>
      <c r="B44" s="149">
        <f>COUNTIF(I5:I39,"PI-2*")</f>
        <v>10</v>
      </c>
      <c r="C44" s="149">
        <f>SUMIF(I5:I39,"PI-2*",E5:E39)</f>
        <v>61</v>
      </c>
      <c r="D44" s="149">
        <f>COUNTIFS(I5:I39,"PI-2*",G5:G39,"Terminé")</f>
        <v>0</v>
      </c>
      <c r="E44" s="150">
        <f>COUNTIFS(I5:I39,"PI-2*",G5:G39,"Backlog")</f>
        <v>10</v>
      </c>
      <c r="F44" s="3"/>
      <c r="G44" s="3"/>
      <c r="H44" s="3"/>
      <c r="I44" s="3"/>
      <c r="J44" s="3"/>
    </row>
    <row r="45" spans="1:10" ht="15" customHeight="1" x14ac:dyDescent="0.2">
      <c r="A45" s="151" t="s">
        <v>825</v>
      </c>
      <c r="B45" s="151">
        <f>COUNTIF(I5:I39,"PI-3*")</f>
        <v>7</v>
      </c>
      <c r="C45" s="151">
        <f>SUMIF(I5:I39,"PI-3*",E5:E39)</f>
        <v>51</v>
      </c>
      <c r="D45" s="151">
        <f>COUNTIFS(I5:I39,"PI-3*",G5:G39,"Terminé")</f>
        <v>0</v>
      </c>
      <c r="E45" s="152">
        <f>COUNTIFS(I5:I39,"PI-3*",G5:G39,"Backlog")</f>
        <v>7</v>
      </c>
      <c r="F45" s="3"/>
      <c r="G45" s="3"/>
      <c r="H45" s="3"/>
      <c r="I45" s="3"/>
      <c r="J45" s="3"/>
    </row>
    <row r="46" spans="1:10" ht="15.75" customHeight="1" x14ac:dyDescent="0.2"/>
  </sheetData>
  <autoFilter ref="A4:J39" xr:uid="{00000000-0009-0000-0000-000007000000}"/>
  <mergeCells count="2">
    <mergeCell ref="A1:H1"/>
    <mergeCell ref="A3:H3"/>
  </mergeCells>
  <conditionalFormatting sqref="G5:G39">
    <cfRule type="cellIs" dxfId="29" priority="2" operator="equal">
      <formula>"Terminé"</formula>
    </cfRule>
    <cfRule type="cellIs" dxfId="28" priority="3" operator="equal">
      <formula>"Livré"</formula>
    </cfRule>
    <cfRule type="cellIs" dxfId="27" priority="4" operator="equal">
      <formula>"En cours"</formula>
    </cfRule>
    <cfRule type="cellIs" dxfId="26" priority="5" operator="equal">
      <formula>"Backlog"</formula>
    </cfRule>
  </conditionalFormatting>
  <dataValidations count="4">
    <dataValidation type="list" allowBlank="1" sqref="F5:F39" xr:uid="{00000000-0002-0000-0700-000000000000}">
      <formula1>"1,2,3,4,5"</formula1>
      <formula2>0</formula2>
    </dataValidation>
    <dataValidation type="list" allowBlank="1" sqref="G5:G39" xr:uid="{00000000-0002-0000-0700-000001000000}">
      <formula1>"Backlog,En cours,Terminé,Livré"</formula1>
      <formula2>0</formula2>
    </dataValidation>
    <dataValidation type="list" allowBlank="1" sqref="I5:I39" xr:uid="{00000000-0002-0000-0700-000002000000}">
      <formula1>"PI-1 (Fév-Mar 2026),PI-2 (Avr-Mai 2026),PI-3 (Juin-Juil 2026)"</formula1>
      <formula2>0</formula2>
    </dataValidation>
    <dataValidation type="list" allowBlank="1" sqref="J5:J39" xr:uid="{00000000-0002-0000-0700-000003000000}">
      <formula1>"S1,S2,S3,S4,S5,S6"</formula1>
      <formula2>0</formula2>
    </dataValidation>
  </dataValidations>
  <hyperlinks>
    <hyperlink ref="A1" location="Dashboard!A1" display="← Dashboard" xr:uid="{00000000-0004-0000-0700-000000000000}"/>
  </hyperlinks>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71"/>
  <sheetViews>
    <sheetView zoomScaleNormal="100" workbookViewId="0">
      <pane ySplit="4" topLeftCell="A5" activePane="bottomLeft" state="frozen"/>
      <selection pane="bottomLeft" activeCell="E14" sqref="E14"/>
    </sheetView>
  </sheetViews>
  <sheetFormatPr baseColWidth="10" defaultColWidth="10.6640625" defaultRowHeight="15" customHeight="1" x14ac:dyDescent="0.2"/>
  <cols>
    <col min="1" max="1" width="12" customWidth="1"/>
    <col min="2" max="2" width="10" customWidth="1"/>
    <col min="3" max="3" width="8" customWidth="1"/>
    <col min="4" max="4" width="50" customWidth="1"/>
    <col min="5" max="5" width="8.5" bestFit="1" customWidth="1"/>
    <col min="6" max="6" width="10.83203125" bestFit="1" customWidth="1"/>
    <col min="7" max="7" width="7" customWidth="1"/>
    <col min="8" max="8" width="50" customWidth="1"/>
    <col min="9" max="9" width="22" customWidth="1"/>
    <col min="10" max="10" width="9" customWidth="1"/>
  </cols>
  <sheetData>
    <row r="1" spans="1:10" ht="15" customHeight="1" x14ac:dyDescent="0.2">
      <c r="A1" s="254" t="s">
        <v>70</v>
      </c>
      <c r="B1" s="255" t="s">
        <v>1838</v>
      </c>
      <c r="C1" s="3"/>
      <c r="D1" s="3"/>
      <c r="E1" s="3"/>
      <c r="F1" s="3"/>
      <c r="G1" s="3"/>
      <c r="H1" s="3"/>
      <c r="I1" s="3"/>
      <c r="J1" s="3"/>
    </row>
    <row r="2" spans="1:10" ht="15" customHeight="1" x14ac:dyDescent="0.2">
      <c r="A2" s="3"/>
      <c r="B2" s="3"/>
      <c r="C2" s="3"/>
      <c r="D2" s="3"/>
      <c r="E2" s="3"/>
      <c r="F2" s="3"/>
      <c r="G2" s="3"/>
      <c r="H2" s="3"/>
      <c r="I2" s="3"/>
      <c r="J2" s="3"/>
    </row>
    <row r="3" spans="1:10" ht="31.5" customHeight="1" x14ac:dyDescent="0.2">
      <c r="A3" s="294" t="s">
        <v>1841</v>
      </c>
      <c r="B3" s="294"/>
      <c r="C3" s="294"/>
      <c r="D3" s="294"/>
      <c r="E3" s="294"/>
      <c r="F3" s="294"/>
      <c r="G3" s="294"/>
      <c r="H3" s="294"/>
      <c r="I3" s="294"/>
      <c r="J3" s="294"/>
    </row>
    <row r="4" spans="1:10" ht="27.75" customHeight="1" x14ac:dyDescent="0.2">
      <c r="A4" s="127" t="s">
        <v>1842</v>
      </c>
      <c r="B4" s="127" t="s">
        <v>774</v>
      </c>
      <c r="C4" s="127" t="s">
        <v>578</v>
      </c>
      <c r="D4" s="127" t="s">
        <v>194</v>
      </c>
      <c r="E4" s="127" t="s">
        <v>776</v>
      </c>
      <c r="F4" s="127" t="s">
        <v>367</v>
      </c>
      <c r="G4" s="127" t="s">
        <v>45</v>
      </c>
      <c r="H4" s="127" t="s">
        <v>208</v>
      </c>
      <c r="I4" s="127" t="s">
        <v>1294</v>
      </c>
      <c r="J4" s="127" t="s">
        <v>898</v>
      </c>
    </row>
    <row r="5" spans="1:10" ht="51.75" customHeight="1" x14ac:dyDescent="0.2">
      <c r="A5" s="128" t="s">
        <v>1843</v>
      </c>
      <c r="B5" s="132" t="s">
        <v>779</v>
      </c>
      <c r="C5" s="130" t="s">
        <v>592</v>
      </c>
      <c r="D5" s="139" t="s">
        <v>1844</v>
      </c>
      <c r="E5" s="131">
        <v>3</v>
      </c>
      <c r="F5" s="130" t="s">
        <v>19</v>
      </c>
      <c r="G5" s="132" t="s">
        <v>48</v>
      </c>
      <c r="H5" s="140" t="s">
        <v>1845</v>
      </c>
      <c r="I5" s="129" t="s">
        <v>1846</v>
      </c>
      <c r="J5" s="130" t="s">
        <v>1847</v>
      </c>
    </row>
    <row r="6" spans="1:10" ht="37.5" customHeight="1" x14ac:dyDescent="0.2">
      <c r="A6" s="128" t="s">
        <v>1848</v>
      </c>
      <c r="B6" s="132" t="s">
        <v>779</v>
      </c>
      <c r="C6" s="130" t="s">
        <v>592</v>
      </c>
      <c r="D6" s="139" t="s">
        <v>1849</v>
      </c>
      <c r="E6" s="131">
        <v>2</v>
      </c>
      <c r="F6" s="130" t="s">
        <v>19</v>
      </c>
      <c r="G6" s="132" t="s">
        <v>48</v>
      </c>
      <c r="H6" s="140" t="s">
        <v>1850</v>
      </c>
      <c r="I6" s="129" t="s">
        <v>1846</v>
      </c>
      <c r="J6" s="130" t="s">
        <v>1847</v>
      </c>
    </row>
    <row r="7" spans="1:10" ht="37.5" customHeight="1" x14ac:dyDescent="0.2">
      <c r="A7" s="128" t="s">
        <v>1851</v>
      </c>
      <c r="B7" s="132" t="s">
        <v>779</v>
      </c>
      <c r="C7" s="130" t="s">
        <v>592</v>
      </c>
      <c r="D7" s="139" t="s">
        <v>1852</v>
      </c>
      <c r="E7" s="131">
        <v>2</v>
      </c>
      <c r="F7" s="130" t="s">
        <v>19</v>
      </c>
      <c r="G7" s="132" t="s">
        <v>48</v>
      </c>
      <c r="H7" s="140" t="s">
        <v>1853</v>
      </c>
      <c r="I7" s="129" t="s">
        <v>1846</v>
      </c>
      <c r="J7" s="130" t="s">
        <v>1847</v>
      </c>
    </row>
    <row r="8" spans="1:10" ht="72" x14ac:dyDescent="0.2">
      <c r="A8" s="133" t="s">
        <v>1854</v>
      </c>
      <c r="B8" s="137" t="s">
        <v>782</v>
      </c>
      <c r="C8" s="135" t="s">
        <v>592</v>
      </c>
      <c r="D8" s="142" t="s">
        <v>1855</v>
      </c>
      <c r="E8" s="136">
        <v>3</v>
      </c>
      <c r="F8" s="135" t="s">
        <v>19</v>
      </c>
      <c r="G8" s="137" t="s">
        <v>47</v>
      </c>
      <c r="H8" s="143" t="s">
        <v>1856</v>
      </c>
      <c r="I8" s="134" t="s">
        <v>1846</v>
      </c>
      <c r="J8" s="135" t="s">
        <v>1847</v>
      </c>
    </row>
    <row r="9" spans="1:10" ht="37.5" customHeight="1" x14ac:dyDescent="0.2">
      <c r="A9" s="133" t="s">
        <v>1857</v>
      </c>
      <c r="B9" s="137" t="s">
        <v>782</v>
      </c>
      <c r="C9" s="135" t="s">
        <v>592</v>
      </c>
      <c r="D9" s="142" t="s">
        <v>1858</v>
      </c>
      <c r="E9" s="136">
        <v>2</v>
      </c>
      <c r="F9" s="135" t="s">
        <v>19</v>
      </c>
      <c r="G9" s="137" t="s">
        <v>47</v>
      </c>
      <c r="H9" s="143" t="s">
        <v>1859</v>
      </c>
      <c r="I9" s="134" t="s">
        <v>1846</v>
      </c>
      <c r="J9" s="135" t="s">
        <v>1847</v>
      </c>
    </row>
    <row r="10" spans="1:10" ht="37.5" customHeight="1" x14ac:dyDescent="0.2">
      <c r="A10" s="133" t="s">
        <v>1860</v>
      </c>
      <c r="B10" s="137" t="s">
        <v>782</v>
      </c>
      <c r="C10" s="135" t="s">
        <v>592</v>
      </c>
      <c r="D10" s="142" t="s">
        <v>1861</v>
      </c>
      <c r="E10" s="136">
        <v>2</v>
      </c>
      <c r="F10" s="135" t="s">
        <v>19</v>
      </c>
      <c r="G10" s="137" t="s">
        <v>47</v>
      </c>
      <c r="H10" s="143" t="s">
        <v>1862</v>
      </c>
      <c r="I10" s="134" t="s">
        <v>1846</v>
      </c>
      <c r="J10" s="135" t="s">
        <v>1847</v>
      </c>
    </row>
    <row r="11" spans="1:10" ht="51.75" customHeight="1" x14ac:dyDescent="0.2">
      <c r="A11" s="128" t="s">
        <v>1863</v>
      </c>
      <c r="B11" s="132" t="s">
        <v>784</v>
      </c>
      <c r="C11" s="130" t="s">
        <v>592</v>
      </c>
      <c r="D11" s="139" t="s">
        <v>1864</v>
      </c>
      <c r="E11" s="131">
        <v>3</v>
      </c>
      <c r="F11" s="130" t="s">
        <v>19</v>
      </c>
      <c r="G11" s="132" t="s">
        <v>47</v>
      </c>
      <c r="H11" s="140" t="s">
        <v>1865</v>
      </c>
      <c r="I11" s="129" t="s">
        <v>1846</v>
      </c>
      <c r="J11" s="130" t="s">
        <v>1847</v>
      </c>
    </row>
    <row r="12" spans="1:10" ht="37.5" customHeight="1" x14ac:dyDescent="0.2">
      <c r="A12" s="128" t="s">
        <v>1866</v>
      </c>
      <c r="B12" s="132" t="s">
        <v>784</v>
      </c>
      <c r="C12" s="130" t="s">
        <v>592</v>
      </c>
      <c r="D12" s="139" t="s">
        <v>1867</v>
      </c>
      <c r="E12" s="131">
        <v>2</v>
      </c>
      <c r="F12" s="130" t="s">
        <v>19</v>
      </c>
      <c r="G12" s="132" t="s">
        <v>47</v>
      </c>
      <c r="H12" s="140" t="s">
        <v>1868</v>
      </c>
      <c r="I12" s="129" t="s">
        <v>1846</v>
      </c>
      <c r="J12" s="130" t="s">
        <v>1847</v>
      </c>
    </row>
    <row r="13" spans="1:10" ht="51.75" customHeight="1" x14ac:dyDescent="0.2">
      <c r="A13" s="133" t="s">
        <v>1869</v>
      </c>
      <c r="B13" s="137" t="s">
        <v>786</v>
      </c>
      <c r="C13" s="135" t="s">
        <v>608</v>
      </c>
      <c r="D13" s="142" t="s">
        <v>1870</v>
      </c>
      <c r="E13" s="136">
        <v>5</v>
      </c>
      <c r="F13" s="135" t="s">
        <v>19</v>
      </c>
      <c r="G13" s="137" t="s">
        <v>47</v>
      </c>
      <c r="H13" s="143" t="s">
        <v>1871</v>
      </c>
      <c r="I13" s="134" t="s">
        <v>1846</v>
      </c>
      <c r="J13" s="135" t="s">
        <v>1847</v>
      </c>
    </row>
    <row r="14" spans="1:10" ht="37.5" customHeight="1" x14ac:dyDescent="0.2">
      <c r="A14" s="133" t="s">
        <v>1872</v>
      </c>
      <c r="B14" s="137" t="s">
        <v>786</v>
      </c>
      <c r="C14" s="135" t="s">
        <v>608</v>
      </c>
      <c r="D14" s="142" t="s">
        <v>1873</v>
      </c>
      <c r="E14" s="136">
        <v>3</v>
      </c>
      <c r="F14" s="135" t="s">
        <v>19</v>
      </c>
      <c r="G14" s="137" t="s">
        <v>47</v>
      </c>
      <c r="H14" s="143" t="s">
        <v>1874</v>
      </c>
      <c r="I14" s="134" t="s">
        <v>1846</v>
      </c>
      <c r="J14" s="135" t="s">
        <v>1847</v>
      </c>
    </row>
    <row r="15" spans="1:10" ht="51.75" customHeight="1" x14ac:dyDescent="0.2">
      <c r="A15" s="128" t="s">
        <v>1875</v>
      </c>
      <c r="B15" s="132" t="s">
        <v>830</v>
      </c>
      <c r="C15" s="130" t="s">
        <v>608</v>
      </c>
      <c r="D15" s="139" t="s">
        <v>1876</v>
      </c>
      <c r="E15" s="131">
        <v>3</v>
      </c>
      <c r="F15" s="130" t="s">
        <v>19</v>
      </c>
      <c r="G15" s="132"/>
      <c r="H15" s="140" t="s">
        <v>1877</v>
      </c>
      <c r="I15" s="129" t="s">
        <v>1846</v>
      </c>
      <c r="J15" s="130" t="s">
        <v>1847</v>
      </c>
    </row>
    <row r="16" spans="1:10" ht="37.5" customHeight="1" x14ac:dyDescent="0.2">
      <c r="A16" s="128" t="s">
        <v>1878</v>
      </c>
      <c r="B16" s="132" t="s">
        <v>830</v>
      </c>
      <c r="C16" s="130" t="s">
        <v>608</v>
      </c>
      <c r="D16" s="139" t="s">
        <v>1879</v>
      </c>
      <c r="E16" s="131">
        <v>2</v>
      </c>
      <c r="F16" s="130" t="s">
        <v>19</v>
      </c>
      <c r="G16" s="132"/>
      <c r="H16" s="140" t="s">
        <v>1880</v>
      </c>
      <c r="I16" s="129" t="s">
        <v>1846</v>
      </c>
      <c r="J16" s="130" t="s">
        <v>1847</v>
      </c>
    </row>
    <row r="17" spans="1:10" ht="37.5" customHeight="1" x14ac:dyDescent="0.2">
      <c r="A17" s="133" t="s">
        <v>1881</v>
      </c>
      <c r="B17" s="137" t="s">
        <v>788</v>
      </c>
      <c r="C17" s="135" t="s">
        <v>587</v>
      </c>
      <c r="D17" s="142" t="s">
        <v>1882</v>
      </c>
      <c r="E17" s="136">
        <v>3</v>
      </c>
      <c r="F17" s="135" t="s">
        <v>19</v>
      </c>
      <c r="G17" s="137" t="s">
        <v>48</v>
      </c>
      <c r="H17" s="143" t="s">
        <v>1883</v>
      </c>
      <c r="I17" s="134" t="s">
        <v>1846</v>
      </c>
      <c r="J17" s="135" t="s">
        <v>1847</v>
      </c>
    </row>
    <row r="18" spans="1:10" ht="37.5" customHeight="1" x14ac:dyDescent="0.2">
      <c r="A18" s="133" t="s">
        <v>1884</v>
      </c>
      <c r="B18" s="137" t="s">
        <v>788</v>
      </c>
      <c r="C18" s="135" t="s">
        <v>587</v>
      </c>
      <c r="D18" s="142" t="s">
        <v>1885</v>
      </c>
      <c r="E18" s="136">
        <v>2</v>
      </c>
      <c r="F18" s="135" t="s">
        <v>19</v>
      </c>
      <c r="G18" s="137" t="s">
        <v>48</v>
      </c>
      <c r="H18" s="143" t="s">
        <v>1886</v>
      </c>
      <c r="I18" s="134" t="s">
        <v>1846</v>
      </c>
      <c r="J18" s="135" t="s">
        <v>1847</v>
      </c>
    </row>
    <row r="19" spans="1:10" ht="37.5" customHeight="1" x14ac:dyDescent="0.2">
      <c r="A19" s="128" t="s">
        <v>1887</v>
      </c>
      <c r="B19" s="132" t="s">
        <v>790</v>
      </c>
      <c r="C19" s="130" t="s">
        <v>587</v>
      </c>
      <c r="D19" s="139" t="s">
        <v>1888</v>
      </c>
      <c r="E19" s="131">
        <v>2</v>
      </c>
      <c r="F19" s="130" t="s">
        <v>19</v>
      </c>
      <c r="G19" s="132" t="s">
        <v>48</v>
      </c>
      <c r="H19" s="140" t="s">
        <v>1889</v>
      </c>
      <c r="I19" s="129" t="s">
        <v>1846</v>
      </c>
      <c r="J19" s="130" t="s">
        <v>1847</v>
      </c>
    </row>
    <row r="20" spans="1:10" ht="37.5" customHeight="1" x14ac:dyDescent="0.2">
      <c r="A20" s="128" t="s">
        <v>1890</v>
      </c>
      <c r="B20" s="132" t="s">
        <v>790</v>
      </c>
      <c r="C20" s="130" t="s">
        <v>587</v>
      </c>
      <c r="D20" s="139" t="s">
        <v>1891</v>
      </c>
      <c r="E20" s="131">
        <v>1</v>
      </c>
      <c r="F20" s="130" t="s">
        <v>19</v>
      </c>
      <c r="G20" s="132" t="s">
        <v>48</v>
      </c>
      <c r="H20" s="140" t="s">
        <v>1892</v>
      </c>
      <c r="I20" s="129" t="s">
        <v>1846</v>
      </c>
      <c r="J20" s="130" t="s">
        <v>1847</v>
      </c>
    </row>
    <row r="21" spans="1:10" ht="37.5" customHeight="1" x14ac:dyDescent="0.2">
      <c r="A21" s="133" t="s">
        <v>1893</v>
      </c>
      <c r="B21" s="137" t="s">
        <v>832</v>
      </c>
      <c r="C21" s="135" t="s">
        <v>587</v>
      </c>
      <c r="D21" s="142" t="s">
        <v>1894</v>
      </c>
      <c r="E21" s="136">
        <v>3</v>
      </c>
      <c r="F21" s="135" t="s">
        <v>19</v>
      </c>
      <c r="G21" s="137"/>
      <c r="H21" s="143" t="s">
        <v>1895</v>
      </c>
      <c r="I21" s="134" t="s">
        <v>1846</v>
      </c>
      <c r="J21" s="135" t="s">
        <v>1847</v>
      </c>
    </row>
    <row r="22" spans="1:10" ht="37.5" customHeight="1" x14ac:dyDescent="0.2">
      <c r="A22" s="133" t="s">
        <v>1896</v>
      </c>
      <c r="B22" s="137" t="s">
        <v>832</v>
      </c>
      <c r="C22" s="135" t="s">
        <v>587</v>
      </c>
      <c r="D22" s="142" t="s">
        <v>1897</v>
      </c>
      <c r="E22" s="136">
        <v>2</v>
      </c>
      <c r="F22" s="135" t="s">
        <v>19</v>
      </c>
      <c r="G22" s="137"/>
      <c r="H22" s="143" t="s">
        <v>1898</v>
      </c>
      <c r="I22" s="134" t="s">
        <v>1846</v>
      </c>
      <c r="J22" s="135" t="s">
        <v>1847</v>
      </c>
    </row>
    <row r="23" spans="1:10" ht="51.75" customHeight="1" x14ac:dyDescent="0.2">
      <c r="A23" s="128" t="s">
        <v>1899</v>
      </c>
      <c r="B23" s="132" t="s">
        <v>792</v>
      </c>
      <c r="C23" s="130" t="s">
        <v>611</v>
      </c>
      <c r="D23" s="139" t="s">
        <v>1900</v>
      </c>
      <c r="E23" s="131">
        <v>3</v>
      </c>
      <c r="F23" s="130" t="s">
        <v>16</v>
      </c>
      <c r="G23" s="132" t="s">
        <v>47</v>
      </c>
      <c r="H23" s="140" t="s">
        <v>1901</v>
      </c>
      <c r="I23" s="129" t="s">
        <v>1902</v>
      </c>
      <c r="J23" s="130" t="s">
        <v>1847</v>
      </c>
    </row>
    <row r="24" spans="1:10" ht="37.5" customHeight="1" x14ac:dyDescent="0.2">
      <c r="A24" s="128" t="s">
        <v>1903</v>
      </c>
      <c r="B24" s="132" t="s">
        <v>792</v>
      </c>
      <c r="C24" s="130" t="s">
        <v>611</v>
      </c>
      <c r="D24" s="139" t="s">
        <v>1904</v>
      </c>
      <c r="E24" s="131">
        <v>2</v>
      </c>
      <c r="F24" s="130" t="s">
        <v>16</v>
      </c>
      <c r="G24" s="132" t="s">
        <v>47</v>
      </c>
      <c r="H24" s="140" t="s">
        <v>1905</v>
      </c>
      <c r="I24" s="129" t="s">
        <v>1902</v>
      </c>
      <c r="J24" s="130" t="s">
        <v>1847</v>
      </c>
    </row>
    <row r="25" spans="1:10" ht="37.5" customHeight="1" x14ac:dyDescent="0.2">
      <c r="A25" s="128" t="s">
        <v>1906</v>
      </c>
      <c r="B25" s="132" t="s">
        <v>792</v>
      </c>
      <c r="C25" s="130" t="s">
        <v>611</v>
      </c>
      <c r="D25" s="139" t="s">
        <v>1907</v>
      </c>
      <c r="E25" s="131">
        <v>2</v>
      </c>
      <c r="F25" s="130" t="s">
        <v>16</v>
      </c>
      <c r="G25" s="132" t="s">
        <v>47</v>
      </c>
      <c r="H25" s="140" t="s">
        <v>1908</v>
      </c>
      <c r="I25" s="129" t="s">
        <v>1902</v>
      </c>
      <c r="J25" s="130" t="s">
        <v>1847</v>
      </c>
    </row>
    <row r="26" spans="1:10" ht="51.75" customHeight="1" x14ac:dyDescent="0.2">
      <c r="A26" s="133" t="s">
        <v>1909</v>
      </c>
      <c r="B26" s="137" t="s">
        <v>794</v>
      </c>
      <c r="C26" s="135" t="s">
        <v>611</v>
      </c>
      <c r="D26" s="142" t="s">
        <v>1910</v>
      </c>
      <c r="E26" s="136">
        <v>3</v>
      </c>
      <c r="F26" s="135" t="s">
        <v>16</v>
      </c>
      <c r="G26" s="137" t="s">
        <v>48</v>
      </c>
      <c r="H26" s="143" t="s">
        <v>1911</v>
      </c>
      <c r="I26" s="134" t="s">
        <v>1902</v>
      </c>
      <c r="J26" s="135" t="s">
        <v>1847</v>
      </c>
    </row>
    <row r="27" spans="1:10" ht="37.5" customHeight="1" x14ac:dyDescent="0.2">
      <c r="A27" s="133" t="s">
        <v>1912</v>
      </c>
      <c r="B27" s="137" t="s">
        <v>794</v>
      </c>
      <c r="C27" s="135" t="s">
        <v>611</v>
      </c>
      <c r="D27" s="142" t="s">
        <v>1913</v>
      </c>
      <c r="E27" s="136">
        <v>2</v>
      </c>
      <c r="F27" s="135" t="s">
        <v>16</v>
      </c>
      <c r="G27" s="137" t="s">
        <v>48</v>
      </c>
      <c r="H27" s="143" t="s">
        <v>1914</v>
      </c>
      <c r="I27" s="134" t="s">
        <v>1902</v>
      </c>
      <c r="J27" s="135" t="s">
        <v>1847</v>
      </c>
    </row>
    <row r="28" spans="1:10" ht="51.75" customHeight="1" x14ac:dyDescent="0.2">
      <c r="A28" s="128" t="s">
        <v>1915</v>
      </c>
      <c r="B28" s="132" t="s">
        <v>796</v>
      </c>
      <c r="C28" s="130" t="s">
        <v>624</v>
      </c>
      <c r="D28" s="139" t="s">
        <v>1916</v>
      </c>
      <c r="E28" s="131">
        <v>5</v>
      </c>
      <c r="F28" s="130" t="s">
        <v>19</v>
      </c>
      <c r="G28" s="132" t="s">
        <v>48</v>
      </c>
      <c r="H28" s="140" t="s">
        <v>1917</v>
      </c>
      <c r="I28" s="129" t="s">
        <v>1902</v>
      </c>
      <c r="J28" s="130" t="s">
        <v>1847</v>
      </c>
    </row>
    <row r="29" spans="1:10" ht="37.5" customHeight="1" x14ac:dyDescent="0.2">
      <c r="A29" s="128" t="s">
        <v>1918</v>
      </c>
      <c r="B29" s="132" t="s">
        <v>796</v>
      </c>
      <c r="C29" s="130" t="s">
        <v>624</v>
      </c>
      <c r="D29" s="139" t="s">
        <v>1919</v>
      </c>
      <c r="E29" s="131">
        <v>3</v>
      </c>
      <c r="F29" s="130" t="s">
        <v>19</v>
      </c>
      <c r="G29" s="132" t="s">
        <v>48</v>
      </c>
      <c r="H29" s="140" t="s">
        <v>1920</v>
      </c>
      <c r="I29" s="129" t="s">
        <v>1902</v>
      </c>
      <c r="J29" s="130" t="s">
        <v>1847</v>
      </c>
    </row>
    <row r="30" spans="1:10" ht="51.75" customHeight="1" x14ac:dyDescent="0.2">
      <c r="A30" s="133" t="s">
        <v>1921</v>
      </c>
      <c r="B30" s="137" t="s">
        <v>834</v>
      </c>
      <c r="C30" s="135" t="s">
        <v>624</v>
      </c>
      <c r="D30" s="142" t="s">
        <v>1922</v>
      </c>
      <c r="E30" s="136">
        <v>3</v>
      </c>
      <c r="F30" s="135" t="s">
        <v>19</v>
      </c>
      <c r="G30" s="137"/>
      <c r="H30" s="143" t="s">
        <v>1923</v>
      </c>
      <c r="I30" s="134" t="s">
        <v>1902</v>
      </c>
      <c r="J30" s="135" t="s">
        <v>1847</v>
      </c>
    </row>
    <row r="31" spans="1:10" ht="37.5" customHeight="1" x14ac:dyDescent="0.2">
      <c r="A31" s="133" t="s">
        <v>1924</v>
      </c>
      <c r="B31" s="137" t="s">
        <v>834</v>
      </c>
      <c r="C31" s="135" t="s">
        <v>624</v>
      </c>
      <c r="D31" s="142" t="s">
        <v>1925</v>
      </c>
      <c r="E31" s="136">
        <v>3</v>
      </c>
      <c r="F31" s="135" t="s">
        <v>19</v>
      </c>
      <c r="G31" s="137"/>
      <c r="H31" s="143" t="s">
        <v>1926</v>
      </c>
      <c r="I31" s="134" t="s">
        <v>1902</v>
      </c>
      <c r="J31" s="135" t="s">
        <v>1847</v>
      </c>
    </row>
    <row r="32" spans="1:10" ht="51.75" customHeight="1" x14ac:dyDescent="0.2">
      <c r="A32" s="128" t="s">
        <v>1927</v>
      </c>
      <c r="B32" s="132" t="s">
        <v>799</v>
      </c>
      <c r="C32" s="130" t="s">
        <v>615</v>
      </c>
      <c r="D32" s="139" t="s">
        <v>1928</v>
      </c>
      <c r="E32" s="131">
        <v>5</v>
      </c>
      <c r="F32" s="130" t="s">
        <v>19</v>
      </c>
      <c r="G32" s="132" t="s">
        <v>47</v>
      </c>
      <c r="H32" s="140" t="s">
        <v>1929</v>
      </c>
      <c r="I32" s="129" t="s">
        <v>1930</v>
      </c>
      <c r="J32" s="130" t="s">
        <v>1847</v>
      </c>
    </row>
    <row r="33" spans="1:10" ht="51.75" customHeight="1" x14ac:dyDescent="0.2">
      <c r="A33" s="128" t="s">
        <v>1931</v>
      </c>
      <c r="B33" s="132" t="s">
        <v>799</v>
      </c>
      <c r="C33" s="130" t="s">
        <v>615</v>
      </c>
      <c r="D33" s="139" t="s">
        <v>1932</v>
      </c>
      <c r="E33" s="131">
        <v>2</v>
      </c>
      <c r="F33" s="130" t="s">
        <v>19</v>
      </c>
      <c r="G33" s="132" t="s">
        <v>47</v>
      </c>
      <c r="H33" s="140" t="s">
        <v>1933</v>
      </c>
      <c r="I33" s="129" t="s">
        <v>1930</v>
      </c>
      <c r="J33" s="130" t="s">
        <v>1847</v>
      </c>
    </row>
    <row r="34" spans="1:10" ht="51.75" customHeight="1" x14ac:dyDescent="0.2">
      <c r="A34" s="133" t="s">
        <v>1934</v>
      </c>
      <c r="B34" s="137" t="s">
        <v>801</v>
      </c>
      <c r="C34" s="135" t="s">
        <v>615</v>
      </c>
      <c r="D34" s="142" t="s">
        <v>1935</v>
      </c>
      <c r="E34" s="136">
        <v>3</v>
      </c>
      <c r="F34" s="135" t="s">
        <v>19</v>
      </c>
      <c r="G34" s="137" t="s">
        <v>48</v>
      </c>
      <c r="H34" s="143" t="s">
        <v>1936</v>
      </c>
      <c r="I34" s="134" t="s">
        <v>1930</v>
      </c>
      <c r="J34" s="135" t="s">
        <v>1847</v>
      </c>
    </row>
    <row r="35" spans="1:10" ht="37.5" customHeight="1" x14ac:dyDescent="0.2">
      <c r="A35" s="133" t="s">
        <v>1937</v>
      </c>
      <c r="B35" s="137" t="s">
        <v>801</v>
      </c>
      <c r="C35" s="135" t="s">
        <v>615</v>
      </c>
      <c r="D35" s="142" t="s">
        <v>1938</v>
      </c>
      <c r="E35" s="136">
        <v>2</v>
      </c>
      <c r="F35" s="135" t="s">
        <v>19</v>
      </c>
      <c r="G35" s="137" t="s">
        <v>48</v>
      </c>
      <c r="H35" s="143" t="s">
        <v>1939</v>
      </c>
      <c r="I35" s="134" t="s">
        <v>1930</v>
      </c>
      <c r="J35" s="135" t="s">
        <v>1847</v>
      </c>
    </row>
    <row r="36" spans="1:10" ht="51.75" customHeight="1" x14ac:dyDescent="0.2">
      <c r="A36" s="128" t="s">
        <v>1940</v>
      </c>
      <c r="B36" s="132" t="s">
        <v>803</v>
      </c>
      <c r="C36" s="130" t="s">
        <v>600</v>
      </c>
      <c r="D36" s="139" t="s">
        <v>1941</v>
      </c>
      <c r="E36" s="131">
        <v>5</v>
      </c>
      <c r="F36" s="130" t="s">
        <v>16</v>
      </c>
      <c r="G36" s="132" t="s">
        <v>46</v>
      </c>
      <c r="H36" s="140" t="s">
        <v>1942</v>
      </c>
      <c r="I36" s="129" t="s">
        <v>1943</v>
      </c>
      <c r="J36" s="130" t="s">
        <v>1847</v>
      </c>
    </row>
    <row r="37" spans="1:10" ht="37.5" customHeight="1" x14ac:dyDescent="0.2">
      <c r="A37" s="128" t="s">
        <v>1944</v>
      </c>
      <c r="B37" s="132" t="s">
        <v>803</v>
      </c>
      <c r="C37" s="130" t="s">
        <v>600</v>
      </c>
      <c r="D37" s="139" t="s">
        <v>1945</v>
      </c>
      <c r="E37" s="131">
        <v>2</v>
      </c>
      <c r="F37" s="130" t="s">
        <v>16</v>
      </c>
      <c r="G37" s="132" t="s">
        <v>46</v>
      </c>
      <c r="H37" s="140" t="s">
        <v>1946</v>
      </c>
      <c r="I37" s="129" t="s">
        <v>1943</v>
      </c>
      <c r="J37" s="130" t="s">
        <v>1847</v>
      </c>
    </row>
    <row r="38" spans="1:10" ht="37.5" customHeight="1" x14ac:dyDescent="0.2">
      <c r="A38" s="128" t="s">
        <v>1947</v>
      </c>
      <c r="B38" s="132" t="s">
        <v>803</v>
      </c>
      <c r="C38" s="130" t="s">
        <v>600</v>
      </c>
      <c r="D38" s="139" t="s">
        <v>1948</v>
      </c>
      <c r="E38" s="131">
        <v>3</v>
      </c>
      <c r="F38" s="130" t="s">
        <v>16</v>
      </c>
      <c r="G38" s="132" t="s">
        <v>46</v>
      </c>
      <c r="H38" s="140" t="s">
        <v>1949</v>
      </c>
      <c r="I38" s="129" t="s">
        <v>1943</v>
      </c>
      <c r="J38" s="130" t="s">
        <v>1847</v>
      </c>
    </row>
    <row r="39" spans="1:10" ht="51.75" customHeight="1" x14ac:dyDescent="0.2">
      <c r="A39" s="133" t="s">
        <v>1950</v>
      </c>
      <c r="B39" s="137" t="s">
        <v>805</v>
      </c>
      <c r="C39" s="135" t="s">
        <v>600</v>
      </c>
      <c r="D39" s="142" t="s">
        <v>1951</v>
      </c>
      <c r="E39" s="136">
        <v>3</v>
      </c>
      <c r="F39" s="135" t="s">
        <v>16</v>
      </c>
      <c r="G39" s="137" t="s">
        <v>47</v>
      </c>
      <c r="H39" s="143" t="s">
        <v>1952</v>
      </c>
      <c r="I39" s="134" t="s">
        <v>1943</v>
      </c>
      <c r="J39" s="135" t="s">
        <v>1847</v>
      </c>
    </row>
    <row r="40" spans="1:10" ht="51.75" customHeight="1" x14ac:dyDescent="0.2">
      <c r="A40" s="133" t="s">
        <v>1953</v>
      </c>
      <c r="B40" s="137" t="s">
        <v>805</v>
      </c>
      <c r="C40" s="135" t="s">
        <v>600</v>
      </c>
      <c r="D40" s="142" t="s">
        <v>1954</v>
      </c>
      <c r="E40" s="136">
        <v>3</v>
      </c>
      <c r="F40" s="135" t="s">
        <v>16</v>
      </c>
      <c r="G40" s="137" t="s">
        <v>47</v>
      </c>
      <c r="H40" s="143" t="s">
        <v>1955</v>
      </c>
      <c r="I40" s="134" t="s">
        <v>1943</v>
      </c>
      <c r="J40" s="135" t="s">
        <v>1847</v>
      </c>
    </row>
    <row r="41" spans="1:10" ht="37.5" customHeight="1" x14ac:dyDescent="0.2">
      <c r="A41" s="133" t="s">
        <v>1956</v>
      </c>
      <c r="B41" s="137" t="s">
        <v>805</v>
      </c>
      <c r="C41" s="135" t="s">
        <v>600</v>
      </c>
      <c r="D41" s="142" t="s">
        <v>1957</v>
      </c>
      <c r="E41" s="136">
        <v>2</v>
      </c>
      <c r="F41" s="135" t="s">
        <v>16</v>
      </c>
      <c r="G41" s="137" t="s">
        <v>47</v>
      </c>
      <c r="H41" s="143" t="s">
        <v>1958</v>
      </c>
      <c r="I41" s="134" t="s">
        <v>1943</v>
      </c>
      <c r="J41" s="135" t="s">
        <v>1847</v>
      </c>
    </row>
    <row r="42" spans="1:10" ht="51.75" customHeight="1" x14ac:dyDescent="0.2">
      <c r="A42" s="128" t="s">
        <v>1959</v>
      </c>
      <c r="B42" s="132" t="s">
        <v>836</v>
      </c>
      <c r="C42" s="130" t="s">
        <v>600</v>
      </c>
      <c r="D42" s="139" t="s">
        <v>1960</v>
      </c>
      <c r="E42" s="131">
        <v>3</v>
      </c>
      <c r="F42" s="130" t="s">
        <v>19</v>
      </c>
      <c r="G42" s="132"/>
      <c r="H42" s="140" t="s">
        <v>1961</v>
      </c>
      <c r="I42" s="129" t="s">
        <v>1943</v>
      </c>
      <c r="J42" s="130" t="s">
        <v>1847</v>
      </c>
    </row>
    <row r="43" spans="1:10" ht="37.5" customHeight="1" x14ac:dyDescent="0.2">
      <c r="A43" s="128" t="s">
        <v>1962</v>
      </c>
      <c r="B43" s="132" t="s">
        <v>836</v>
      </c>
      <c r="C43" s="130" t="s">
        <v>600</v>
      </c>
      <c r="D43" s="139" t="s">
        <v>1963</v>
      </c>
      <c r="E43" s="131">
        <v>2</v>
      </c>
      <c r="F43" s="130" t="s">
        <v>19</v>
      </c>
      <c r="G43" s="132"/>
      <c r="H43" s="140" t="s">
        <v>1964</v>
      </c>
      <c r="I43" s="129" t="s">
        <v>1943</v>
      </c>
      <c r="J43" s="130" t="s">
        <v>1847</v>
      </c>
    </row>
    <row r="44" spans="1:10" ht="51.75" customHeight="1" x14ac:dyDescent="0.2">
      <c r="A44" s="133" t="s">
        <v>1965</v>
      </c>
      <c r="B44" s="137" t="s">
        <v>807</v>
      </c>
      <c r="C44" s="135" t="s">
        <v>595</v>
      </c>
      <c r="D44" s="142" t="s">
        <v>1966</v>
      </c>
      <c r="E44" s="136">
        <v>5</v>
      </c>
      <c r="F44" s="135" t="s">
        <v>16</v>
      </c>
      <c r="G44" s="137" t="s">
        <v>47</v>
      </c>
      <c r="H44" s="143" t="s">
        <v>1967</v>
      </c>
      <c r="I44" s="134" t="s">
        <v>1968</v>
      </c>
      <c r="J44" s="135" t="s">
        <v>1847</v>
      </c>
    </row>
    <row r="45" spans="1:10" ht="51.75" customHeight="1" x14ac:dyDescent="0.2">
      <c r="A45" s="133" t="s">
        <v>1969</v>
      </c>
      <c r="B45" s="137" t="s">
        <v>807</v>
      </c>
      <c r="C45" s="135" t="s">
        <v>595</v>
      </c>
      <c r="D45" s="142" t="s">
        <v>1970</v>
      </c>
      <c r="E45" s="136">
        <v>3</v>
      </c>
      <c r="F45" s="135" t="s">
        <v>16</v>
      </c>
      <c r="G45" s="137" t="s">
        <v>47</v>
      </c>
      <c r="H45" s="143" t="s">
        <v>1971</v>
      </c>
      <c r="I45" s="134" t="s">
        <v>1968</v>
      </c>
      <c r="J45" s="135" t="s">
        <v>1847</v>
      </c>
    </row>
    <row r="46" spans="1:10" ht="51.75" customHeight="1" x14ac:dyDescent="0.2">
      <c r="A46" s="128" t="s">
        <v>1972</v>
      </c>
      <c r="B46" s="132" t="s">
        <v>809</v>
      </c>
      <c r="C46" s="130" t="s">
        <v>595</v>
      </c>
      <c r="D46" s="139" t="s">
        <v>1973</v>
      </c>
      <c r="E46" s="131">
        <v>5</v>
      </c>
      <c r="F46" s="130" t="s">
        <v>16</v>
      </c>
      <c r="G46" s="132" t="s">
        <v>48</v>
      </c>
      <c r="H46" s="140" t="s">
        <v>1974</v>
      </c>
      <c r="I46" s="129" t="s">
        <v>1968</v>
      </c>
      <c r="J46" s="130" t="s">
        <v>1847</v>
      </c>
    </row>
    <row r="47" spans="1:10" ht="37.5" customHeight="1" x14ac:dyDescent="0.2">
      <c r="A47" s="128" t="s">
        <v>1975</v>
      </c>
      <c r="B47" s="132" t="s">
        <v>809</v>
      </c>
      <c r="C47" s="130" t="s">
        <v>595</v>
      </c>
      <c r="D47" s="139" t="s">
        <v>1976</v>
      </c>
      <c r="E47" s="131">
        <v>3</v>
      </c>
      <c r="F47" s="130" t="s">
        <v>16</v>
      </c>
      <c r="G47" s="132" t="s">
        <v>48</v>
      </c>
      <c r="H47" s="140" t="s">
        <v>1977</v>
      </c>
      <c r="I47" s="129" t="s">
        <v>1968</v>
      </c>
      <c r="J47" s="130" t="s">
        <v>1847</v>
      </c>
    </row>
    <row r="48" spans="1:10" ht="37.5" customHeight="1" x14ac:dyDescent="0.2">
      <c r="A48" s="128" t="s">
        <v>1978</v>
      </c>
      <c r="B48" s="132" t="s">
        <v>809</v>
      </c>
      <c r="C48" s="130" t="s">
        <v>595</v>
      </c>
      <c r="D48" s="139" t="s">
        <v>1979</v>
      </c>
      <c r="E48" s="131">
        <v>3</v>
      </c>
      <c r="F48" s="130" t="s">
        <v>16</v>
      </c>
      <c r="G48" s="132" t="s">
        <v>48</v>
      </c>
      <c r="H48" s="140" t="s">
        <v>1980</v>
      </c>
      <c r="I48" s="129" t="s">
        <v>1968</v>
      </c>
      <c r="J48" s="130" t="s">
        <v>1847</v>
      </c>
    </row>
    <row r="49" spans="1:10" ht="51.75" customHeight="1" x14ac:dyDescent="0.2">
      <c r="A49" s="133" t="s">
        <v>1981</v>
      </c>
      <c r="B49" s="137" t="s">
        <v>811</v>
      </c>
      <c r="C49" s="135" t="s">
        <v>618</v>
      </c>
      <c r="D49" s="142" t="s">
        <v>1982</v>
      </c>
      <c r="E49" s="136">
        <v>8</v>
      </c>
      <c r="F49" s="135" t="s">
        <v>16</v>
      </c>
      <c r="G49" s="137" t="s">
        <v>46</v>
      </c>
      <c r="H49" s="143" t="s">
        <v>1983</v>
      </c>
      <c r="I49" s="134" t="s">
        <v>1984</v>
      </c>
      <c r="J49" s="135" t="s">
        <v>1847</v>
      </c>
    </row>
    <row r="50" spans="1:10" ht="37.5" customHeight="1" x14ac:dyDescent="0.2">
      <c r="A50" s="133" t="s">
        <v>1985</v>
      </c>
      <c r="B50" s="137" t="s">
        <v>811</v>
      </c>
      <c r="C50" s="135" t="s">
        <v>618</v>
      </c>
      <c r="D50" s="142" t="s">
        <v>1986</v>
      </c>
      <c r="E50" s="136">
        <v>2</v>
      </c>
      <c r="F50" s="135" t="s">
        <v>16</v>
      </c>
      <c r="G50" s="137" t="s">
        <v>46</v>
      </c>
      <c r="H50" s="143" t="s">
        <v>1987</v>
      </c>
      <c r="I50" s="134" t="s">
        <v>1984</v>
      </c>
      <c r="J50" s="135" t="s">
        <v>1847</v>
      </c>
    </row>
    <row r="51" spans="1:10" ht="51.75" customHeight="1" x14ac:dyDescent="0.2">
      <c r="A51" s="128" t="s">
        <v>1988</v>
      </c>
      <c r="B51" s="132" t="s">
        <v>813</v>
      </c>
      <c r="C51" s="130" t="s">
        <v>618</v>
      </c>
      <c r="D51" s="139" t="s">
        <v>1989</v>
      </c>
      <c r="E51" s="131">
        <v>5</v>
      </c>
      <c r="F51" s="130" t="s">
        <v>16</v>
      </c>
      <c r="G51" s="132" t="s">
        <v>46</v>
      </c>
      <c r="H51" s="140" t="s">
        <v>1990</v>
      </c>
      <c r="I51" s="129" t="s">
        <v>1984</v>
      </c>
      <c r="J51" s="130" t="s">
        <v>1847</v>
      </c>
    </row>
    <row r="52" spans="1:10" ht="37.5" customHeight="1" x14ac:dyDescent="0.2">
      <c r="A52" s="128" t="s">
        <v>1991</v>
      </c>
      <c r="B52" s="132" t="s">
        <v>813</v>
      </c>
      <c r="C52" s="130" t="s">
        <v>618</v>
      </c>
      <c r="D52" s="139" t="s">
        <v>1992</v>
      </c>
      <c r="E52" s="131">
        <v>5</v>
      </c>
      <c r="F52" s="130" t="s">
        <v>16</v>
      </c>
      <c r="G52" s="132" t="s">
        <v>46</v>
      </c>
      <c r="H52" s="140" t="s">
        <v>1993</v>
      </c>
      <c r="I52" s="129" t="s">
        <v>1984</v>
      </c>
      <c r="J52" s="130" t="s">
        <v>1847</v>
      </c>
    </row>
    <row r="53" spans="1:10" ht="51.75" customHeight="1" x14ac:dyDescent="0.2">
      <c r="A53" s="133" t="s">
        <v>1994</v>
      </c>
      <c r="B53" s="137" t="s">
        <v>815</v>
      </c>
      <c r="C53" s="135" t="s">
        <v>605</v>
      </c>
      <c r="D53" s="142" t="s">
        <v>1995</v>
      </c>
      <c r="E53" s="136">
        <v>3</v>
      </c>
      <c r="F53" s="135" t="s">
        <v>19</v>
      </c>
      <c r="G53" s="137" t="s">
        <v>48</v>
      </c>
      <c r="H53" s="143" t="s">
        <v>1996</v>
      </c>
      <c r="I53" s="134" t="s">
        <v>1968</v>
      </c>
      <c r="J53" s="135" t="s">
        <v>1847</v>
      </c>
    </row>
    <row r="54" spans="1:10" ht="37.5" customHeight="1" x14ac:dyDescent="0.2">
      <c r="A54" s="133" t="s">
        <v>1997</v>
      </c>
      <c r="B54" s="137" t="s">
        <v>815</v>
      </c>
      <c r="C54" s="135" t="s">
        <v>605</v>
      </c>
      <c r="D54" s="142" t="s">
        <v>1998</v>
      </c>
      <c r="E54" s="136">
        <v>2</v>
      </c>
      <c r="F54" s="135" t="s">
        <v>19</v>
      </c>
      <c r="G54" s="137" t="s">
        <v>48</v>
      </c>
      <c r="H54" s="143" t="s">
        <v>1999</v>
      </c>
      <c r="I54" s="134" t="s">
        <v>1968</v>
      </c>
      <c r="J54" s="135" t="s">
        <v>1847</v>
      </c>
    </row>
    <row r="55" spans="1:10" ht="51.75" customHeight="1" x14ac:dyDescent="0.2">
      <c r="A55" s="128" t="s">
        <v>2000</v>
      </c>
      <c r="B55" s="132" t="s">
        <v>817</v>
      </c>
      <c r="C55" s="130" t="s">
        <v>605</v>
      </c>
      <c r="D55" s="139" t="s">
        <v>2001</v>
      </c>
      <c r="E55" s="131">
        <v>5</v>
      </c>
      <c r="F55" s="130" t="s">
        <v>16</v>
      </c>
      <c r="G55" s="132" t="s">
        <v>46</v>
      </c>
      <c r="H55" s="140" t="s">
        <v>2002</v>
      </c>
      <c r="I55" s="129" t="s">
        <v>1968</v>
      </c>
      <c r="J55" s="130" t="s">
        <v>1847</v>
      </c>
    </row>
    <row r="56" spans="1:10" ht="37.5" customHeight="1" x14ac:dyDescent="0.2">
      <c r="A56" s="128" t="s">
        <v>2003</v>
      </c>
      <c r="B56" s="132" t="s">
        <v>817</v>
      </c>
      <c r="C56" s="130" t="s">
        <v>605</v>
      </c>
      <c r="D56" s="139" t="s">
        <v>2004</v>
      </c>
      <c r="E56" s="131">
        <v>3</v>
      </c>
      <c r="F56" s="130" t="s">
        <v>16</v>
      </c>
      <c r="G56" s="132" t="s">
        <v>46</v>
      </c>
      <c r="H56" s="140" t="s">
        <v>2005</v>
      </c>
      <c r="I56" s="129" t="s">
        <v>1968</v>
      </c>
      <c r="J56" s="130" t="s">
        <v>1847</v>
      </c>
    </row>
    <row r="57" spans="1:10" ht="37.5" customHeight="1" x14ac:dyDescent="0.2">
      <c r="A57" s="133" t="s">
        <v>2006</v>
      </c>
      <c r="B57" s="137" t="s">
        <v>819</v>
      </c>
      <c r="C57" s="135" t="s">
        <v>630</v>
      </c>
      <c r="D57" s="142" t="s">
        <v>2007</v>
      </c>
      <c r="E57" s="136">
        <v>5</v>
      </c>
      <c r="F57" s="135" t="s">
        <v>19</v>
      </c>
      <c r="G57" s="137" t="s">
        <v>48</v>
      </c>
      <c r="H57" s="143" t="s">
        <v>2008</v>
      </c>
      <c r="I57" s="134" t="s">
        <v>1846</v>
      </c>
      <c r="J57" s="135" t="s">
        <v>1847</v>
      </c>
    </row>
    <row r="58" spans="1:10" ht="37.5" customHeight="1" x14ac:dyDescent="0.2">
      <c r="A58" s="133" t="s">
        <v>2009</v>
      </c>
      <c r="B58" s="137" t="s">
        <v>819</v>
      </c>
      <c r="C58" s="135" t="s">
        <v>630</v>
      </c>
      <c r="D58" s="142" t="s">
        <v>2010</v>
      </c>
      <c r="E58" s="136">
        <v>3</v>
      </c>
      <c r="F58" s="135" t="s">
        <v>19</v>
      </c>
      <c r="G58" s="137" t="s">
        <v>48</v>
      </c>
      <c r="H58" s="143" t="s">
        <v>2011</v>
      </c>
      <c r="I58" s="134" t="s">
        <v>1846</v>
      </c>
      <c r="J58" s="135" t="s">
        <v>1847</v>
      </c>
    </row>
    <row r="59" spans="1:10" ht="37.5" customHeight="1" x14ac:dyDescent="0.2">
      <c r="A59" s="128" t="s">
        <v>2012</v>
      </c>
      <c r="B59" s="132" t="s">
        <v>821</v>
      </c>
      <c r="C59" s="130" t="s">
        <v>630</v>
      </c>
      <c r="D59" s="139" t="s">
        <v>2013</v>
      </c>
      <c r="E59" s="131">
        <v>3</v>
      </c>
      <c r="F59" s="130" t="s">
        <v>19</v>
      </c>
      <c r="G59" s="132" t="s">
        <v>47</v>
      </c>
      <c r="H59" s="140" t="s">
        <v>2014</v>
      </c>
      <c r="I59" s="129" t="s">
        <v>1846</v>
      </c>
      <c r="J59" s="130" t="s">
        <v>1847</v>
      </c>
    </row>
    <row r="60" spans="1:10" ht="37.5" customHeight="1" x14ac:dyDescent="0.2">
      <c r="A60" s="128" t="s">
        <v>2015</v>
      </c>
      <c r="B60" s="132" t="s">
        <v>821</v>
      </c>
      <c r="C60" s="130" t="s">
        <v>630</v>
      </c>
      <c r="D60" s="139" t="s">
        <v>2016</v>
      </c>
      <c r="E60" s="131">
        <v>2</v>
      </c>
      <c r="F60" s="130" t="s">
        <v>19</v>
      </c>
      <c r="G60" s="132" t="s">
        <v>47</v>
      </c>
      <c r="H60" s="140" t="s">
        <v>2017</v>
      </c>
      <c r="I60" s="129" t="s">
        <v>1846</v>
      </c>
      <c r="J60" s="130" t="s">
        <v>1847</v>
      </c>
    </row>
    <row r="61" spans="1:10" ht="51.75" customHeight="1" x14ac:dyDescent="0.2">
      <c r="A61" s="133" t="s">
        <v>2018</v>
      </c>
      <c r="B61" s="137" t="s">
        <v>823</v>
      </c>
      <c r="C61" s="135" t="s">
        <v>651</v>
      </c>
      <c r="D61" s="142" t="s">
        <v>2019</v>
      </c>
      <c r="E61" s="136">
        <v>5</v>
      </c>
      <c r="F61" s="135" t="s">
        <v>19</v>
      </c>
      <c r="G61" s="137" t="s">
        <v>47</v>
      </c>
      <c r="H61" s="143" t="s">
        <v>2020</v>
      </c>
      <c r="I61" s="134" t="s">
        <v>1902</v>
      </c>
      <c r="J61" s="135" t="s">
        <v>1847</v>
      </c>
    </row>
    <row r="62" spans="1:10" ht="37.5" customHeight="1" x14ac:dyDescent="0.2">
      <c r="A62" s="133" t="s">
        <v>2021</v>
      </c>
      <c r="B62" s="137" t="s">
        <v>823</v>
      </c>
      <c r="C62" s="135" t="s">
        <v>651</v>
      </c>
      <c r="D62" s="142" t="s">
        <v>2022</v>
      </c>
      <c r="E62" s="136">
        <v>3</v>
      </c>
      <c r="F62" s="135" t="s">
        <v>19</v>
      </c>
      <c r="G62" s="137" t="s">
        <v>47</v>
      </c>
      <c r="H62" s="143" t="s">
        <v>2023</v>
      </c>
      <c r="I62" s="134" t="s">
        <v>1902</v>
      </c>
      <c r="J62" s="135" t="s">
        <v>1847</v>
      </c>
    </row>
    <row r="63" spans="1:10" ht="51.75" customHeight="1" x14ac:dyDescent="0.2">
      <c r="A63" s="128" t="s">
        <v>2024</v>
      </c>
      <c r="B63" s="132" t="s">
        <v>826</v>
      </c>
      <c r="C63" s="130" t="s">
        <v>645</v>
      </c>
      <c r="D63" s="139" t="s">
        <v>2025</v>
      </c>
      <c r="E63" s="131">
        <v>3</v>
      </c>
      <c r="F63" s="130" t="s">
        <v>19</v>
      </c>
      <c r="G63" s="132" t="s">
        <v>47</v>
      </c>
      <c r="H63" s="140" t="s">
        <v>2026</v>
      </c>
      <c r="I63" s="129" t="s">
        <v>1902</v>
      </c>
      <c r="J63" s="130" t="s">
        <v>1847</v>
      </c>
    </row>
    <row r="64" spans="1:10" ht="37.5" customHeight="1" x14ac:dyDescent="0.2">
      <c r="A64" s="128" t="s">
        <v>2027</v>
      </c>
      <c r="B64" s="132" t="s">
        <v>826</v>
      </c>
      <c r="C64" s="130" t="s">
        <v>645</v>
      </c>
      <c r="D64" s="139" t="s">
        <v>2028</v>
      </c>
      <c r="E64" s="131">
        <v>2</v>
      </c>
      <c r="F64" s="130" t="s">
        <v>19</v>
      </c>
      <c r="G64" s="132" t="s">
        <v>47</v>
      </c>
      <c r="H64" s="140" t="s">
        <v>2029</v>
      </c>
      <c r="I64" s="129" t="s">
        <v>1902</v>
      </c>
      <c r="J64" s="130" t="s">
        <v>1847</v>
      </c>
    </row>
    <row r="65" spans="1:10" ht="37.5" customHeight="1" x14ac:dyDescent="0.2">
      <c r="A65" s="133" t="s">
        <v>2030</v>
      </c>
      <c r="B65" s="137" t="s">
        <v>838</v>
      </c>
      <c r="C65" s="135" t="s">
        <v>648</v>
      </c>
      <c r="D65" s="142" t="s">
        <v>2031</v>
      </c>
      <c r="E65" s="136">
        <v>3</v>
      </c>
      <c r="F65" s="135" t="s">
        <v>19</v>
      </c>
      <c r="G65" s="137"/>
      <c r="H65" s="143" t="s">
        <v>2032</v>
      </c>
      <c r="I65" s="134" t="s">
        <v>1846</v>
      </c>
      <c r="J65" s="135" t="s">
        <v>1847</v>
      </c>
    </row>
    <row r="66" spans="1:10" ht="37.5" customHeight="1" x14ac:dyDescent="0.2">
      <c r="A66" s="133" t="s">
        <v>2033</v>
      </c>
      <c r="B66" s="137" t="s">
        <v>838</v>
      </c>
      <c r="C66" s="135" t="s">
        <v>648</v>
      </c>
      <c r="D66" s="142" t="s">
        <v>2034</v>
      </c>
      <c r="E66" s="136">
        <v>3</v>
      </c>
      <c r="F66" s="135" t="s">
        <v>19</v>
      </c>
      <c r="G66" s="137"/>
      <c r="H66" s="143" t="s">
        <v>2035</v>
      </c>
      <c r="I66" s="134" t="s">
        <v>1846</v>
      </c>
      <c r="J66" s="135" t="s">
        <v>1847</v>
      </c>
    </row>
    <row r="67" spans="1:10" ht="51.75" customHeight="1" x14ac:dyDescent="0.2">
      <c r="A67" s="128" t="s">
        <v>2036</v>
      </c>
      <c r="B67" s="132" t="s">
        <v>840</v>
      </c>
      <c r="C67" s="130" t="s">
        <v>621</v>
      </c>
      <c r="D67" s="139" t="s">
        <v>2037</v>
      </c>
      <c r="E67" s="131">
        <v>5</v>
      </c>
      <c r="F67" s="130" t="s">
        <v>19</v>
      </c>
      <c r="G67" s="132"/>
      <c r="H67" s="140" t="s">
        <v>2038</v>
      </c>
      <c r="I67" s="129" t="s">
        <v>1902</v>
      </c>
      <c r="J67" s="130" t="s">
        <v>1847</v>
      </c>
    </row>
    <row r="68" spans="1:10" ht="37.5" customHeight="1" x14ac:dyDescent="0.2">
      <c r="A68" s="128" t="s">
        <v>2039</v>
      </c>
      <c r="B68" s="132" t="s">
        <v>840</v>
      </c>
      <c r="C68" s="130" t="s">
        <v>621</v>
      </c>
      <c r="D68" s="139" t="s">
        <v>2040</v>
      </c>
      <c r="E68" s="131">
        <v>3</v>
      </c>
      <c r="F68" s="130" t="s">
        <v>19</v>
      </c>
      <c r="G68" s="132"/>
      <c r="H68" s="140" t="s">
        <v>2041</v>
      </c>
      <c r="I68" s="129" t="s">
        <v>1902</v>
      </c>
      <c r="J68" s="130" t="s">
        <v>1847</v>
      </c>
    </row>
    <row r="69" spans="1:10" ht="37.5" customHeight="1" x14ac:dyDescent="0.2">
      <c r="A69" s="133" t="s">
        <v>2042</v>
      </c>
      <c r="B69" s="137" t="s">
        <v>828</v>
      </c>
      <c r="C69" s="135" t="s">
        <v>633</v>
      </c>
      <c r="D69" s="142" t="s">
        <v>2043</v>
      </c>
      <c r="E69" s="136">
        <v>2</v>
      </c>
      <c r="F69" s="135" t="s">
        <v>19</v>
      </c>
      <c r="G69" s="137" t="s">
        <v>48</v>
      </c>
      <c r="H69" s="143" t="s">
        <v>2044</v>
      </c>
      <c r="I69" s="134" t="s">
        <v>1477</v>
      </c>
      <c r="J69" s="135" t="s">
        <v>1847</v>
      </c>
    </row>
    <row r="70" spans="1:10" ht="37.5" customHeight="1" x14ac:dyDescent="0.2">
      <c r="A70" s="133" t="s">
        <v>2045</v>
      </c>
      <c r="B70" s="137" t="s">
        <v>828</v>
      </c>
      <c r="C70" s="135" t="s">
        <v>633</v>
      </c>
      <c r="D70" s="142" t="s">
        <v>2046</v>
      </c>
      <c r="E70" s="136">
        <v>2</v>
      </c>
      <c r="F70" s="135" t="s">
        <v>19</v>
      </c>
      <c r="G70" s="137" t="s">
        <v>48</v>
      </c>
      <c r="H70" s="143" t="s">
        <v>2047</v>
      </c>
      <c r="I70" s="134" t="s">
        <v>1477</v>
      </c>
      <c r="J70" s="135" t="s">
        <v>1847</v>
      </c>
    </row>
    <row r="71" spans="1:10" ht="51.75" customHeight="1" x14ac:dyDescent="0.2">
      <c r="A71" s="128" t="s">
        <v>2048</v>
      </c>
      <c r="B71" s="132" t="s">
        <v>842</v>
      </c>
      <c r="C71" s="130" t="s">
        <v>627</v>
      </c>
      <c r="D71" s="139" t="s">
        <v>2049</v>
      </c>
      <c r="E71" s="131">
        <v>5</v>
      </c>
      <c r="F71" s="130" t="s">
        <v>19</v>
      </c>
      <c r="G71" s="132"/>
      <c r="H71" s="140" t="s">
        <v>2050</v>
      </c>
      <c r="I71" s="129" t="s">
        <v>1846</v>
      </c>
      <c r="J71" s="130" t="s">
        <v>1847</v>
      </c>
    </row>
    <row r="72" spans="1:10" ht="37.5" customHeight="1" x14ac:dyDescent="0.2">
      <c r="A72" s="128" t="s">
        <v>2051</v>
      </c>
      <c r="B72" s="132" t="s">
        <v>842</v>
      </c>
      <c r="C72" s="130" t="s">
        <v>627</v>
      </c>
      <c r="D72" s="139" t="s">
        <v>2052</v>
      </c>
      <c r="E72" s="131">
        <v>2</v>
      </c>
      <c r="F72" s="130" t="s">
        <v>19</v>
      </c>
      <c r="G72" s="132"/>
      <c r="H72" s="140" t="s">
        <v>2053</v>
      </c>
      <c r="I72" s="129" t="s">
        <v>1846</v>
      </c>
      <c r="J72" s="130" t="s">
        <v>1847</v>
      </c>
    </row>
    <row r="73" spans="1:10" ht="51.75" customHeight="1" x14ac:dyDescent="0.2">
      <c r="A73" s="133" t="s">
        <v>2054</v>
      </c>
      <c r="B73" s="137" t="s">
        <v>844</v>
      </c>
      <c r="C73" s="135" t="s">
        <v>636</v>
      </c>
      <c r="D73" s="142" t="s">
        <v>2055</v>
      </c>
      <c r="E73" s="136">
        <v>5</v>
      </c>
      <c r="F73" s="135" t="s">
        <v>19</v>
      </c>
      <c r="G73" s="137"/>
      <c r="H73" s="143" t="s">
        <v>2056</v>
      </c>
      <c r="I73" s="134" t="s">
        <v>1902</v>
      </c>
      <c r="J73" s="135" t="s">
        <v>1847</v>
      </c>
    </row>
    <row r="74" spans="1:10" ht="51.75" customHeight="1" x14ac:dyDescent="0.2">
      <c r="A74" s="133" t="s">
        <v>2057</v>
      </c>
      <c r="B74" s="137" t="s">
        <v>844</v>
      </c>
      <c r="C74" s="135" t="s">
        <v>636</v>
      </c>
      <c r="D74" s="142" t="s">
        <v>2058</v>
      </c>
      <c r="E74" s="136">
        <v>3</v>
      </c>
      <c r="F74" s="135" t="s">
        <v>19</v>
      </c>
      <c r="G74" s="137"/>
      <c r="H74" s="143" t="s">
        <v>2059</v>
      </c>
      <c r="I74" s="134" t="s">
        <v>1902</v>
      </c>
      <c r="J74" s="135" t="s">
        <v>1847</v>
      </c>
    </row>
    <row r="75" spans="1:10" ht="51.75" customHeight="1" x14ac:dyDescent="0.2">
      <c r="A75" s="128" t="s">
        <v>2060</v>
      </c>
      <c r="B75" s="132" t="s">
        <v>846</v>
      </c>
      <c r="C75" s="130" t="s">
        <v>654</v>
      </c>
      <c r="D75" s="139" t="s">
        <v>2061</v>
      </c>
      <c r="E75" s="131">
        <v>5</v>
      </c>
      <c r="F75" s="130" t="s">
        <v>19</v>
      </c>
      <c r="G75" s="132"/>
      <c r="H75" s="140" t="s">
        <v>2062</v>
      </c>
      <c r="I75" s="129" t="s">
        <v>1902</v>
      </c>
      <c r="J75" s="130" t="s">
        <v>1847</v>
      </c>
    </row>
    <row r="76" spans="1:10" ht="37.5" customHeight="1" x14ac:dyDescent="0.2">
      <c r="A76" s="128" t="s">
        <v>2063</v>
      </c>
      <c r="B76" s="132" t="s">
        <v>846</v>
      </c>
      <c r="C76" s="130" t="s">
        <v>654</v>
      </c>
      <c r="D76" s="139" t="s">
        <v>2064</v>
      </c>
      <c r="E76" s="131">
        <v>3</v>
      </c>
      <c r="F76" s="130" t="s">
        <v>19</v>
      </c>
      <c r="G76" s="132"/>
      <c r="H76" s="140" t="s">
        <v>2065</v>
      </c>
      <c r="I76" s="129" t="s">
        <v>1902</v>
      </c>
      <c r="J76" s="130" t="s">
        <v>1847</v>
      </c>
    </row>
    <row r="77" spans="1:10" ht="51.75" customHeight="1" x14ac:dyDescent="0.2">
      <c r="A77" s="133" t="s">
        <v>2066</v>
      </c>
      <c r="B77" s="137" t="s">
        <v>848</v>
      </c>
      <c r="C77" s="135" t="s">
        <v>639</v>
      </c>
      <c r="D77" s="142" t="s">
        <v>2067</v>
      </c>
      <c r="E77" s="136">
        <v>5</v>
      </c>
      <c r="F77" s="135" t="s">
        <v>19</v>
      </c>
      <c r="G77" s="137"/>
      <c r="H77" s="143" t="s">
        <v>2068</v>
      </c>
      <c r="I77" s="134" t="s">
        <v>1968</v>
      </c>
      <c r="J77" s="135" t="s">
        <v>1847</v>
      </c>
    </row>
    <row r="78" spans="1:10" ht="37.5" customHeight="1" x14ac:dyDescent="0.2">
      <c r="A78" s="133" t="s">
        <v>2069</v>
      </c>
      <c r="B78" s="137" t="s">
        <v>848</v>
      </c>
      <c r="C78" s="135" t="s">
        <v>639</v>
      </c>
      <c r="D78" s="142" t="s">
        <v>2070</v>
      </c>
      <c r="E78" s="136">
        <v>3</v>
      </c>
      <c r="F78" s="135" t="s">
        <v>19</v>
      </c>
      <c r="G78" s="137"/>
      <c r="H78" s="143" t="s">
        <v>2071</v>
      </c>
      <c r="I78" s="134" t="s">
        <v>1968</v>
      </c>
      <c r="J78" s="135" t="s">
        <v>1847</v>
      </c>
    </row>
    <row r="79" spans="1:10" ht="51.75" customHeight="1" x14ac:dyDescent="0.2">
      <c r="A79" s="128" t="s">
        <v>2072</v>
      </c>
      <c r="B79" s="132" t="s">
        <v>850</v>
      </c>
      <c r="C79" s="130" t="s">
        <v>642</v>
      </c>
      <c r="D79" s="139" t="s">
        <v>2073</v>
      </c>
      <c r="E79" s="131">
        <v>5</v>
      </c>
      <c r="F79" s="130" t="s">
        <v>19</v>
      </c>
      <c r="G79" s="132"/>
      <c r="H79" s="140" t="s">
        <v>2074</v>
      </c>
      <c r="I79" s="129" t="s">
        <v>1846</v>
      </c>
      <c r="J79" s="130" t="s">
        <v>1847</v>
      </c>
    </row>
    <row r="80" spans="1:10" ht="37.5" customHeight="1" x14ac:dyDescent="0.2">
      <c r="A80" s="128" t="s">
        <v>2075</v>
      </c>
      <c r="B80" s="132" t="s">
        <v>850</v>
      </c>
      <c r="C80" s="130" t="s">
        <v>642</v>
      </c>
      <c r="D80" s="139" t="s">
        <v>2076</v>
      </c>
      <c r="E80" s="131">
        <v>3</v>
      </c>
      <c r="F80" s="130" t="s">
        <v>19</v>
      </c>
      <c r="G80" s="132"/>
      <c r="H80" s="140" t="s">
        <v>2077</v>
      </c>
      <c r="I80" s="129" t="s">
        <v>1846</v>
      </c>
      <c r="J80" s="130" t="s">
        <v>1847</v>
      </c>
    </row>
    <row r="81" spans="1:10" ht="37.5" customHeight="1" x14ac:dyDescent="0.2">
      <c r="A81" s="133" t="s">
        <v>2078</v>
      </c>
      <c r="B81" s="137" t="s">
        <v>2079</v>
      </c>
      <c r="C81" s="135" t="s">
        <v>605</v>
      </c>
      <c r="D81" s="142" t="s">
        <v>2080</v>
      </c>
      <c r="E81" s="136">
        <v>3</v>
      </c>
      <c r="F81" s="135" t="s">
        <v>2081</v>
      </c>
      <c r="G81" s="137" t="s">
        <v>2082</v>
      </c>
      <c r="H81" s="143" t="s">
        <v>2083</v>
      </c>
      <c r="I81" s="134" t="s">
        <v>2084</v>
      </c>
      <c r="J81" s="135" t="s">
        <v>2081</v>
      </c>
    </row>
    <row r="82" spans="1:10" ht="37.5" customHeight="1" x14ac:dyDescent="0.2">
      <c r="A82" s="133" t="s">
        <v>2085</v>
      </c>
      <c r="B82" s="137" t="s">
        <v>2079</v>
      </c>
      <c r="C82" s="135" t="s">
        <v>605</v>
      </c>
      <c r="D82" s="142" t="s">
        <v>2086</v>
      </c>
      <c r="E82" s="136">
        <v>3</v>
      </c>
      <c r="F82" s="135" t="s">
        <v>2081</v>
      </c>
      <c r="G82" s="137" t="s">
        <v>2082</v>
      </c>
      <c r="H82" s="143" t="s">
        <v>2087</v>
      </c>
      <c r="I82" s="134" t="s">
        <v>2084</v>
      </c>
      <c r="J82" s="135" t="s">
        <v>2081</v>
      </c>
    </row>
    <row r="83" spans="1:10" ht="37.5" customHeight="1" x14ac:dyDescent="0.2">
      <c r="A83" s="133" t="s">
        <v>2088</v>
      </c>
      <c r="B83" s="137" t="s">
        <v>2079</v>
      </c>
      <c r="C83" s="135" t="s">
        <v>605</v>
      </c>
      <c r="D83" s="142" t="s">
        <v>2089</v>
      </c>
      <c r="E83" s="136">
        <v>3</v>
      </c>
      <c r="F83" s="135" t="s">
        <v>2081</v>
      </c>
      <c r="G83" s="137" t="s">
        <v>2082</v>
      </c>
      <c r="H83" s="143" t="s">
        <v>2090</v>
      </c>
      <c r="I83" s="134" t="s">
        <v>2084</v>
      </c>
      <c r="J83" s="135" t="s">
        <v>2081</v>
      </c>
    </row>
    <row r="84" spans="1:10" ht="37.5" customHeight="1" x14ac:dyDescent="0.2">
      <c r="A84" s="133" t="s">
        <v>2091</v>
      </c>
      <c r="B84" s="137" t="s">
        <v>2079</v>
      </c>
      <c r="C84" s="135" t="s">
        <v>605</v>
      </c>
      <c r="D84" s="142" t="s">
        <v>2092</v>
      </c>
      <c r="E84" s="136">
        <v>3</v>
      </c>
      <c r="F84" s="135" t="s">
        <v>2081</v>
      </c>
      <c r="G84" s="137" t="s">
        <v>2082</v>
      </c>
      <c r="H84" s="143" t="s">
        <v>2093</v>
      </c>
      <c r="I84" s="134" t="s">
        <v>2084</v>
      </c>
      <c r="J84" s="135" t="s">
        <v>2081</v>
      </c>
    </row>
    <row r="85" spans="1:10" ht="37.5" customHeight="1" x14ac:dyDescent="0.2">
      <c r="A85" s="133" t="s">
        <v>2094</v>
      </c>
      <c r="B85" s="137" t="s">
        <v>2079</v>
      </c>
      <c r="C85" s="135" t="s">
        <v>605</v>
      </c>
      <c r="D85" s="142" t="s">
        <v>2095</v>
      </c>
      <c r="E85" s="136">
        <v>5</v>
      </c>
      <c r="F85" s="135" t="s">
        <v>2081</v>
      </c>
      <c r="G85" s="137" t="s">
        <v>2082</v>
      </c>
      <c r="H85" s="143" t="s">
        <v>2090</v>
      </c>
      <c r="I85" s="134" t="s">
        <v>2084</v>
      </c>
      <c r="J85" s="135" t="s">
        <v>2081</v>
      </c>
    </row>
    <row r="86" spans="1:10" ht="37.5" customHeight="1" x14ac:dyDescent="0.2">
      <c r="A86" s="133" t="s">
        <v>2096</v>
      </c>
      <c r="B86" s="137" t="s">
        <v>2079</v>
      </c>
      <c r="C86" s="135" t="s">
        <v>605</v>
      </c>
      <c r="D86" s="142" t="s">
        <v>2097</v>
      </c>
      <c r="E86" s="136">
        <v>3</v>
      </c>
      <c r="F86" s="135" t="s">
        <v>2081</v>
      </c>
      <c r="G86" s="137" t="s">
        <v>2082</v>
      </c>
      <c r="H86" s="143" t="s">
        <v>2090</v>
      </c>
      <c r="I86" s="134" t="s">
        <v>2084</v>
      </c>
      <c r="J86" s="135" t="s">
        <v>2081</v>
      </c>
    </row>
    <row r="87" spans="1:10" ht="37.5" customHeight="1" x14ac:dyDescent="0.2">
      <c r="A87" s="133" t="s">
        <v>2098</v>
      </c>
      <c r="B87" s="137" t="s">
        <v>2079</v>
      </c>
      <c r="C87" s="135" t="s">
        <v>605</v>
      </c>
      <c r="D87" s="142" t="s">
        <v>2099</v>
      </c>
      <c r="E87" s="136">
        <v>3</v>
      </c>
      <c r="F87" s="135" t="s">
        <v>2081</v>
      </c>
      <c r="G87" s="137" t="s">
        <v>2082</v>
      </c>
      <c r="H87" s="143" t="s">
        <v>2090</v>
      </c>
      <c r="I87" s="134" t="s">
        <v>2084</v>
      </c>
      <c r="J87" s="135" t="s">
        <v>2081</v>
      </c>
    </row>
    <row r="88" spans="1:10" ht="37.5" customHeight="1" x14ac:dyDescent="0.2">
      <c r="A88" s="133" t="s">
        <v>2100</v>
      </c>
      <c r="B88" s="137" t="s">
        <v>2079</v>
      </c>
      <c r="C88" s="135" t="s">
        <v>605</v>
      </c>
      <c r="D88" s="142" t="s">
        <v>2101</v>
      </c>
      <c r="E88" s="136">
        <v>3</v>
      </c>
      <c r="F88" s="135" t="s">
        <v>2081</v>
      </c>
      <c r="G88" s="137" t="s">
        <v>2082</v>
      </c>
      <c r="H88" s="143" t="s">
        <v>2090</v>
      </c>
      <c r="I88" s="134" t="s">
        <v>2084</v>
      </c>
      <c r="J88" s="135" t="s">
        <v>2081</v>
      </c>
    </row>
    <row r="89" spans="1:10" ht="37.5" customHeight="1" x14ac:dyDescent="0.2">
      <c r="A89" s="133" t="s">
        <v>2102</v>
      </c>
      <c r="B89" s="137" t="s">
        <v>2079</v>
      </c>
      <c r="C89" s="135" t="s">
        <v>605</v>
      </c>
      <c r="D89" s="142" t="s">
        <v>2103</v>
      </c>
      <c r="E89" s="136">
        <v>3</v>
      </c>
      <c r="F89" s="135" t="s">
        <v>2081</v>
      </c>
      <c r="G89" s="137" t="s">
        <v>2082</v>
      </c>
      <c r="H89" s="143" t="s">
        <v>2087</v>
      </c>
      <c r="I89" s="134" t="s">
        <v>2084</v>
      </c>
      <c r="J89" s="135" t="s">
        <v>2081</v>
      </c>
    </row>
    <row r="90" spans="1:10" ht="37.5" customHeight="1" x14ac:dyDescent="0.2">
      <c r="A90" s="133" t="s">
        <v>2104</v>
      </c>
      <c r="B90" s="137" t="s">
        <v>2079</v>
      </c>
      <c r="C90" s="135" t="s">
        <v>605</v>
      </c>
      <c r="D90" s="142" t="s">
        <v>2105</v>
      </c>
      <c r="E90" s="136">
        <v>3</v>
      </c>
      <c r="F90" s="135" t="s">
        <v>2081</v>
      </c>
      <c r="G90" s="137" t="s">
        <v>2082</v>
      </c>
      <c r="H90" s="143" t="s">
        <v>2090</v>
      </c>
      <c r="I90" s="134" t="s">
        <v>2084</v>
      </c>
      <c r="J90" s="135" t="s">
        <v>2081</v>
      </c>
    </row>
    <row r="91" spans="1:10" ht="37.5" customHeight="1" x14ac:dyDescent="0.2">
      <c r="A91" s="133" t="s">
        <v>2106</v>
      </c>
      <c r="B91" s="137" t="s">
        <v>2079</v>
      </c>
      <c r="C91" s="135" t="s">
        <v>605</v>
      </c>
      <c r="D91" s="142" t="s">
        <v>2107</v>
      </c>
      <c r="E91" s="136">
        <v>3</v>
      </c>
      <c r="F91" s="135" t="s">
        <v>2081</v>
      </c>
      <c r="G91" s="137" t="s">
        <v>2082</v>
      </c>
      <c r="H91" s="143" t="s">
        <v>2090</v>
      </c>
      <c r="I91" s="134" t="s">
        <v>2084</v>
      </c>
      <c r="J91" s="135" t="s">
        <v>2081</v>
      </c>
    </row>
    <row r="92" spans="1:10" ht="37.5" customHeight="1" x14ac:dyDescent="0.2">
      <c r="A92" s="133" t="s">
        <v>2108</v>
      </c>
      <c r="B92" s="137" t="s">
        <v>2079</v>
      </c>
      <c r="C92" s="135" t="s">
        <v>605</v>
      </c>
      <c r="D92" s="142" t="s">
        <v>2086</v>
      </c>
      <c r="E92" s="136">
        <v>3</v>
      </c>
      <c r="F92" s="135" t="s">
        <v>2081</v>
      </c>
      <c r="G92" s="137" t="s">
        <v>2082</v>
      </c>
      <c r="H92" s="143" t="s">
        <v>2090</v>
      </c>
      <c r="I92" s="134" t="s">
        <v>2084</v>
      </c>
      <c r="J92" s="135" t="s">
        <v>2081</v>
      </c>
    </row>
    <row r="93" spans="1:10" ht="37.5" customHeight="1" x14ac:dyDescent="0.2">
      <c r="A93" s="133" t="s">
        <v>2109</v>
      </c>
      <c r="B93" s="137" t="s">
        <v>2079</v>
      </c>
      <c r="C93" s="135" t="s">
        <v>605</v>
      </c>
      <c r="D93" s="142" t="s">
        <v>2110</v>
      </c>
      <c r="E93" s="136">
        <v>5</v>
      </c>
      <c r="F93" s="135" t="s">
        <v>2081</v>
      </c>
      <c r="G93" s="137" t="s">
        <v>2082</v>
      </c>
      <c r="H93" s="143" t="s">
        <v>2093</v>
      </c>
      <c r="I93" s="134" t="s">
        <v>2084</v>
      </c>
      <c r="J93" s="135" t="s">
        <v>2081</v>
      </c>
    </row>
    <row r="94" spans="1:10" ht="37.5" customHeight="1" x14ac:dyDescent="0.2">
      <c r="A94" s="133" t="s">
        <v>2111</v>
      </c>
      <c r="B94" s="137" t="s">
        <v>2079</v>
      </c>
      <c r="C94" s="135" t="s">
        <v>605</v>
      </c>
      <c r="D94" s="142" t="s">
        <v>2086</v>
      </c>
      <c r="E94" s="136">
        <v>2</v>
      </c>
      <c r="F94" s="135" t="s">
        <v>2081</v>
      </c>
      <c r="G94" s="137" t="s">
        <v>2082</v>
      </c>
      <c r="H94" s="143" t="s">
        <v>2090</v>
      </c>
      <c r="I94" s="134" t="s">
        <v>2084</v>
      </c>
      <c r="J94" s="135" t="s">
        <v>2081</v>
      </c>
    </row>
    <row r="95" spans="1:10" ht="37.5" customHeight="1" x14ac:dyDescent="0.2">
      <c r="A95" s="133" t="s">
        <v>2112</v>
      </c>
      <c r="B95" s="137" t="s">
        <v>2079</v>
      </c>
      <c r="C95" s="135" t="s">
        <v>605</v>
      </c>
      <c r="D95" s="142" t="s">
        <v>2113</v>
      </c>
      <c r="E95" s="136">
        <v>3</v>
      </c>
      <c r="F95" s="135" t="s">
        <v>2081</v>
      </c>
      <c r="G95" s="137" t="s">
        <v>2082</v>
      </c>
      <c r="H95" s="143" t="s">
        <v>2090</v>
      </c>
      <c r="I95" s="134" t="s">
        <v>2084</v>
      </c>
      <c r="J95" s="135" t="s">
        <v>2081</v>
      </c>
    </row>
    <row r="96" spans="1:10" ht="37.5" customHeight="1" x14ac:dyDescent="0.2">
      <c r="A96" s="133" t="s">
        <v>2114</v>
      </c>
      <c r="B96" s="137" t="s">
        <v>2079</v>
      </c>
      <c r="C96" s="135" t="s">
        <v>605</v>
      </c>
      <c r="D96" s="142" t="s">
        <v>2115</v>
      </c>
      <c r="E96" s="136">
        <v>3</v>
      </c>
      <c r="F96" s="135" t="s">
        <v>2081</v>
      </c>
      <c r="G96" s="137" t="s">
        <v>2082</v>
      </c>
      <c r="H96" s="143" t="s">
        <v>2090</v>
      </c>
      <c r="I96" s="134" t="s">
        <v>2084</v>
      </c>
      <c r="J96" s="135" t="s">
        <v>2081</v>
      </c>
    </row>
    <row r="97" spans="1:10" ht="37.5" customHeight="1" x14ac:dyDescent="0.2">
      <c r="A97" s="133" t="s">
        <v>2116</v>
      </c>
      <c r="B97" s="137" t="s">
        <v>2079</v>
      </c>
      <c r="C97" s="135" t="s">
        <v>605</v>
      </c>
      <c r="D97" s="142" t="s">
        <v>2117</v>
      </c>
      <c r="E97" s="136">
        <v>3</v>
      </c>
      <c r="F97" s="135" t="s">
        <v>2081</v>
      </c>
      <c r="G97" s="137" t="s">
        <v>2082</v>
      </c>
      <c r="H97" s="143" t="s">
        <v>2087</v>
      </c>
      <c r="I97" s="134" t="s">
        <v>2084</v>
      </c>
      <c r="J97" s="135" t="s">
        <v>2081</v>
      </c>
    </row>
    <row r="98" spans="1:10" ht="37.5" customHeight="1" x14ac:dyDescent="0.2">
      <c r="A98" s="133" t="s">
        <v>2118</v>
      </c>
      <c r="B98" s="137" t="s">
        <v>2079</v>
      </c>
      <c r="C98" s="135" t="s">
        <v>605</v>
      </c>
      <c r="D98" s="142" t="s">
        <v>2117</v>
      </c>
      <c r="E98" s="136">
        <v>3</v>
      </c>
      <c r="F98" s="135" t="s">
        <v>2081</v>
      </c>
      <c r="G98" s="137" t="s">
        <v>2082</v>
      </c>
      <c r="H98" s="143" t="s">
        <v>2119</v>
      </c>
      <c r="I98" s="134" t="s">
        <v>2084</v>
      </c>
      <c r="J98" s="135" t="s">
        <v>2081</v>
      </c>
    </row>
    <row r="99" spans="1:10" ht="37.5" customHeight="1" x14ac:dyDescent="0.2">
      <c r="A99" s="133" t="s">
        <v>2120</v>
      </c>
      <c r="B99" s="137" t="s">
        <v>2079</v>
      </c>
      <c r="C99" s="135" t="s">
        <v>605</v>
      </c>
      <c r="D99" s="142" t="s">
        <v>2121</v>
      </c>
      <c r="E99" s="136">
        <v>3</v>
      </c>
      <c r="F99" s="135" t="s">
        <v>2081</v>
      </c>
      <c r="G99" s="137" t="s">
        <v>2082</v>
      </c>
      <c r="H99" s="143" t="s">
        <v>2090</v>
      </c>
      <c r="I99" s="134" t="s">
        <v>2084</v>
      </c>
      <c r="J99" s="135" t="s">
        <v>2081</v>
      </c>
    </row>
    <row r="100" spans="1:10" ht="37.5" customHeight="1" x14ac:dyDescent="0.2">
      <c r="A100" s="133" t="s">
        <v>2122</v>
      </c>
      <c r="B100" s="137" t="s">
        <v>2079</v>
      </c>
      <c r="C100" s="135" t="s">
        <v>605</v>
      </c>
      <c r="D100" s="142" t="s">
        <v>2123</v>
      </c>
      <c r="E100" s="136">
        <v>5</v>
      </c>
      <c r="F100" s="135" t="s">
        <v>2081</v>
      </c>
      <c r="G100" s="137" t="s">
        <v>2082</v>
      </c>
      <c r="H100" s="143" t="s">
        <v>2124</v>
      </c>
      <c r="I100" s="134" t="s">
        <v>2084</v>
      </c>
      <c r="J100" s="135" t="s">
        <v>2081</v>
      </c>
    </row>
    <row r="101" spans="1:10" ht="37.5" customHeight="1" x14ac:dyDescent="0.2">
      <c r="A101" s="133" t="s">
        <v>2125</v>
      </c>
      <c r="B101" s="137" t="s">
        <v>2079</v>
      </c>
      <c r="C101" s="135" t="s">
        <v>605</v>
      </c>
      <c r="D101" s="142" t="s">
        <v>2126</v>
      </c>
      <c r="E101" s="136">
        <v>3</v>
      </c>
      <c r="F101" s="135" t="s">
        <v>2081</v>
      </c>
      <c r="G101" s="137" t="s">
        <v>2082</v>
      </c>
      <c r="H101" s="143" t="s">
        <v>2083</v>
      </c>
      <c r="I101" s="134" t="s">
        <v>2084</v>
      </c>
      <c r="J101" s="135" t="s">
        <v>2081</v>
      </c>
    </row>
    <row r="102" spans="1:10" ht="37.5" customHeight="1" x14ac:dyDescent="0.2">
      <c r="A102" s="133" t="s">
        <v>2127</v>
      </c>
      <c r="B102" s="137" t="s">
        <v>2079</v>
      </c>
      <c r="C102" s="135" t="s">
        <v>605</v>
      </c>
      <c r="D102" s="142" t="s">
        <v>2128</v>
      </c>
      <c r="E102" s="136">
        <v>3</v>
      </c>
      <c r="F102" s="135" t="s">
        <v>2081</v>
      </c>
      <c r="G102" s="137" t="s">
        <v>2082</v>
      </c>
      <c r="H102" s="143" t="s">
        <v>2087</v>
      </c>
      <c r="I102" s="134" t="s">
        <v>2084</v>
      </c>
      <c r="J102" s="135" t="s">
        <v>2081</v>
      </c>
    </row>
    <row r="103" spans="1:10" ht="37.5" customHeight="1" x14ac:dyDescent="0.2">
      <c r="A103" s="133" t="s">
        <v>2129</v>
      </c>
      <c r="B103" s="137" t="s">
        <v>2079</v>
      </c>
      <c r="C103" s="135" t="s">
        <v>605</v>
      </c>
      <c r="D103" s="142" t="s">
        <v>2130</v>
      </c>
      <c r="E103" s="136">
        <v>3</v>
      </c>
      <c r="F103" s="135" t="s">
        <v>2081</v>
      </c>
      <c r="G103" s="137" t="s">
        <v>2082</v>
      </c>
      <c r="H103" s="143" t="s">
        <v>2090</v>
      </c>
      <c r="I103" s="134" t="s">
        <v>2084</v>
      </c>
      <c r="J103" s="135" t="s">
        <v>2081</v>
      </c>
    </row>
    <row r="104" spans="1:10" ht="37.5" customHeight="1" x14ac:dyDescent="0.2">
      <c r="A104" s="128" t="s">
        <v>2131</v>
      </c>
      <c r="B104" s="132" t="s">
        <v>2132</v>
      </c>
      <c r="C104" s="130" t="s">
        <v>587</v>
      </c>
      <c r="D104" s="139" t="s">
        <v>2133</v>
      </c>
      <c r="E104" s="131">
        <v>5</v>
      </c>
      <c r="F104" s="130" t="s">
        <v>2081</v>
      </c>
      <c r="G104" s="132" t="s">
        <v>2082</v>
      </c>
      <c r="H104" s="140" t="s">
        <v>2119</v>
      </c>
      <c r="I104" s="129" t="s">
        <v>1477</v>
      </c>
      <c r="J104" s="130" t="s">
        <v>2081</v>
      </c>
    </row>
    <row r="105" spans="1:10" ht="37.5" customHeight="1" x14ac:dyDescent="0.2">
      <c r="A105" s="128" t="s">
        <v>2134</v>
      </c>
      <c r="B105" s="132" t="s">
        <v>2132</v>
      </c>
      <c r="C105" s="130" t="s">
        <v>587</v>
      </c>
      <c r="D105" s="139" t="s">
        <v>2135</v>
      </c>
      <c r="E105" s="131">
        <v>5</v>
      </c>
      <c r="F105" s="130" t="s">
        <v>2081</v>
      </c>
      <c r="G105" s="132" t="s">
        <v>2082</v>
      </c>
      <c r="H105" s="140" t="s">
        <v>2124</v>
      </c>
      <c r="I105" s="129" t="s">
        <v>1477</v>
      </c>
      <c r="J105" s="130" t="s">
        <v>2081</v>
      </c>
    </row>
    <row r="106" spans="1:10" ht="37.5" customHeight="1" x14ac:dyDescent="0.2">
      <c r="A106" s="128" t="s">
        <v>2136</v>
      </c>
      <c r="B106" s="132" t="s">
        <v>2132</v>
      </c>
      <c r="C106" s="130" t="s">
        <v>587</v>
      </c>
      <c r="D106" s="139" t="s">
        <v>2137</v>
      </c>
      <c r="E106" s="131">
        <v>3</v>
      </c>
      <c r="F106" s="130" t="s">
        <v>2081</v>
      </c>
      <c r="G106" s="132" t="s">
        <v>2082</v>
      </c>
      <c r="H106" s="140" t="s">
        <v>2124</v>
      </c>
      <c r="I106" s="129" t="s">
        <v>1477</v>
      </c>
      <c r="J106" s="130" t="s">
        <v>2081</v>
      </c>
    </row>
    <row r="107" spans="1:10" ht="37.5" customHeight="1" x14ac:dyDescent="0.2">
      <c r="A107" s="128" t="s">
        <v>2138</v>
      </c>
      <c r="B107" s="132" t="s">
        <v>2132</v>
      </c>
      <c r="C107" s="130" t="s">
        <v>587</v>
      </c>
      <c r="D107" s="139" t="s">
        <v>2139</v>
      </c>
      <c r="E107" s="131">
        <v>3</v>
      </c>
      <c r="F107" s="130" t="s">
        <v>2081</v>
      </c>
      <c r="G107" s="132" t="s">
        <v>2082</v>
      </c>
      <c r="H107" s="140" t="s">
        <v>2124</v>
      </c>
      <c r="I107" s="129" t="s">
        <v>1477</v>
      </c>
      <c r="J107" s="130" t="s">
        <v>2081</v>
      </c>
    </row>
    <row r="108" spans="1:10" ht="37.5" customHeight="1" x14ac:dyDescent="0.2">
      <c r="A108" s="128" t="s">
        <v>2140</v>
      </c>
      <c r="B108" s="132" t="s">
        <v>2132</v>
      </c>
      <c r="C108" s="130" t="s">
        <v>587</v>
      </c>
      <c r="D108" s="139" t="s">
        <v>2141</v>
      </c>
      <c r="E108" s="131">
        <v>3</v>
      </c>
      <c r="F108" s="130" t="s">
        <v>2081</v>
      </c>
      <c r="G108" s="132" t="s">
        <v>2082</v>
      </c>
      <c r="H108" s="140" t="s">
        <v>2090</v>
      </c>
      <c r="I108" s="129" t="s">
        <v>1477</v>
      </c>
      <c r="J108" s="130" t="s">
        <v>2081</v>
      </c>
    </row>
    <row r="109" spans="1:10" ht="37.5" customHeight="1" x14ac:dyDescent="0.2">
      <c r="A109" s="128" t="s">
        <v>2142</v>
      </c>
      <c r="B109" s="132" t="s">
        <v>2132</v>
      </c>
      <c r="C109" s="130" t="s">
        <v>587</v>
      </c>
      <c r="D109" s="139" t="s">
        <v>2143</v>
      </c>
      <c r="E109" s="131">
        <v>3</v>
      </c>
      <c r="F109" s="130" t="s">
        <v>2081</v>
      </c>
      <c r="G109" s="132" t="s">
        <v>2082</v>
      </c>
      <c r="H109" s="140" t="s">
        <v>2093</v>
      </c>
      <c r="I109" s="129" t="s">
        <v>1477</v>
      </c>
      <c r="J109" s="130" t="s">
        <v>2081</v>
      </c>
    </row>
    <row r="110" spans="1:10" ht="37.5" customHeight="1" x14ac:dyDescent="0.2">
      <c r="A110" s="128" t="s">
        <v>2144</v>
      </c>
      <c r="B110" s="132" t="s">
        <v>2132</v>
      </c>
      <c r="C110" s="130" t="s">
        <v>587</v>
      </c>
      <c r="D110" s="139" t="s">
        <v>2110</v>
      </c>
      <c r="E110" s="131">
        <v>3</v>
      </c>
      <c r="F110" s="130" t="s">
        <v>2081</v>
      </c>
      <c r="G110" s="132" t="s">
        <v>2082</v>
      </c>
      <c r="H110" s="140" t="s">
        <v>2090</v>
      </c>
      <c r="I110" s="129" t="s">
        <v>1477</v>
      </c>
      <c r="J110" s="130" t="s">
        <v>2081</v>
      </c>
    </row>
    <row r="111" spans="1:10" ht="37.5" customHeight="1" x14ac:dyDescent="0.2">
      <c r="A111" s="128" t="s">
        <v>2145</v>
      </c>
      <c r="B111" s="132" t="s">
        <v>2132</v>
      </c>
      <c r="C111" s="130" t="s">
        <v>587</v>
      </c>
      <c r="D111" s="139" t="s">
        <v>2146</v>
      </c>
      <c r="E111" s="131">
        <v>3</v>
      </c>
      <c r="F111" s="130" t="s">
        <v>2081</v>
      </c>
      <c r="G111" s="132" t="s">
        <v>2082</v>
      </c>
      <c r="H111" s="140" t="s">
        <v>2087</v>
      </c>
      <c r="I111" s="129" t="s">
        <v>1477</v>
      </c>
      <c r="J111" s="130" t="s">
        <v>2081</v>
      </c>
    </row>
    <row r="112" spans="1:10" ht="37.5" customHeight="1" x14ac:dyDescent="0.2">
      <c r="A112" s="128" t="s">
        <v>2147</v>
      </c>
      <c r="B112" s="132" t="s">
        <v>2132</v>
      </c>
      <c r="C112" s="130" t="s">
        <v>587</v>
      </c>
      <c r="D112" s="139" t="s">
        <v>2110</v>
      </c>
      <c r="E112" s="131">
        <v>3</v>
      </c>
      <c r="F112" s="130" t="s">
        <v>2081</v>
      </c>
      <c r="G112" s="132" t="s">
        <v>2082</v>
      </c>
      <c r="H112" s="140" t="s">
        <v>2148</v>
      </c>
      <c r="I112" s="129" t="s">
        <v>1477</v>
      </c>
      <c r="J112" s="130" t="s">
        <v>2081</v>
      </c>
    </row>
    <row r="113" spans="1:10" ht="37.5" customHeight="1" x14ac:dyDescent="0.2">
      <c r="A113" s="128" t="s">
        <v>2149</v>
      </c>
      <c r="B113" s="132" t="s">
        <v>2132</v>
      </c>
      <c r="C113" s="130" t="s">
        <v>587</v>
      </c>
      <c r="D113" s="139" t="s">
        <v>2150</v>
      </c>
      <c r="E113" s="131">
        <v>5</v>
      </c>
      <c r="F113" s="130" t="s">
        <v>2081</v>
      </c>
      <c r="G113" s="132" t="s">
        <v>2082</v>
      </c>
      <c r="H113" s="140" t="s">
        <v>2124</v>
      </c>
      <c r="I113" s="129" t="s">
        <v>1477</v>
      </c>
      <c r="J113" s="130" t="s">
        <v>2081</v>
      </c>
    </row>
    <row r="114" spans="1:10" ht="37.5" customHeight="1" x14ac:dyDescent="0.2">
      <c r="A114" s="128" t="s">
        <v>2151</v>
      </c>
      <c r="B114" s="132" t="s">
        <v>2132</v>
      </c>
      <c r="C114" s="130" t="s">
        <v>587</v>
      </c>
      <c r="D114" s="139" t="s">
        <v>2152</v>
      </c>
      <c r="E114" s="131">
        <v>5</v>
      </c>
      <c r="F114" s="130" t="s">
        <v>2081</v>
      </c>
      <c r="G114" s="132" t="s">
        <v>2082</v>
      </c>
      <c r="H114" s="140" t="s">
        <v>2087</v>
      </c>
      <c r="I114" s="129" t="s">
        <v>1477</v>
      </c>
      <c r="J114" s="130" t="s">
        <v>2081</v>
      </c>
    </row>
    <row r="115" spans="1:10" ht="37.5" customHeight="1" x14ac:dyDescent="0.2">
      <c r="A115" s="128" t="s">
        <v>2153</v>
      </c>
      <c r="B115" s="132" t="s">
        <v>2132</v>
      </c>
      <c r="C115" s="130" t="s">
        <v>587</v>
      </c>
      <c r="D115" s="139" t="s">
        <v>2154</v>
      </c>
      <c r="E115" s="131">
        <v>2</v>
      </c>
      <c r="F115" s="130" t="s">
        <v>2081</v>
      </c>
      <c r="G115" s="132" t="s">
        <v>2082</v>
      </c>
      <c r="H115" s="140" t="s">
        <v>2119</v>
      </c>
      <c r="I115" s="129" t="s">
        <v>1477</v>
      </c>
      <c r="J115" s="130" t="s">
        <v>2081</v>
      </c>
    </row>
    <row r="116" spans="1:10" ht="37.5" customHeight="1" x14ac:dyDescent="0.2">
      <c r="A116" s="128" t="s">
        <v>2155</v>
      </c>
      <c r="B116" s="132" t="s">
        <v>2132</v>
      </c>
      <c r="C116" s="130" t="s">
        <v>587</v>
      </c>
      <c r="D116" s="139" t="s">
        <v>2156</v>
      </c>
      <c r="E116" s="131">
        <v>5</v>
      </c>
      <c r="F116" s="130" t="s">
        <v>2081</v>
      </c>
      <c r="G116" s="132" t="s">
        <v>2082</v>
      </c>
      <c r="H116" s="140" t="s">
        <v>2090</v>
      </c>
      <c r="I116" s="129" t="s">
        <v>1477</v>
      </c>
      <c r="J116" s="130" t="s">
        <v>2081</v>
      </c>
    </row>
    <row r="117" spans="1:10" ht="37.5" customHeight="1" x14ac:dyDescent="0.2">
      <c r="A117" s="128" t="s">
        <v>2157</v>
      </c>
      <c r="B117" s="132" t="s">
        <v>2132</v>
      </c>
      <c r="C117" s="130" t="s">
        <v>587</v>
      </c>
      <c r="D117" s="139" t="s">
        <v>2158</v>
      </c>
      <c r="E117" s="131">
        <v>5</v>
      </c>
      <c r="F117" s="130" t="s">
        <v>2081</v>
      </c>
      <c r="G117" s="132" t="s">
        <v>2082</v>
      </c>
      <c r="H117" s="140" t="s">
        <v>2090</v>
      </c>
      <c r="I117" s="129" t="s">
        <v>1477</v>
      </c>
      <c r="J117" s="130" t="s">
        <v>2081</v>
      </c>
    </row>
    <row r="118" spans="1:10" ht="37.5" customHeight="1" x14ac:dyDescent="0.2">
      <c r="A118" s="128" t="s">
        <v>2159</v>
      </c>
      <c r="B118" s="132" t="s">
        <v>2132</v>
      </c>
      <c r="C118" s="130" t="s">
        <v>587</v>
      </c>
      <c r="D118" s="139" t="s">
        <v>2160</v>
      </c>
      <c r="E118" s="131">
        <v>5</v>
      </c>
      <c r="F118" s="130" t="s">
        <v>2081</v>
      </c>
      <c r="G118" s="132" t="s">
        <v>2082</v>
      </c>
      <c r="H118" s="140" t="s">
        <v>2124</v>
      </c>
      <c r="I118" s="129" t="s">
        <v>1477</v>
      </c>
      <c r="J118" s="130" t="s">
        <v>2081</v>
      </c>
    </row>
    <row r="119" spans="1:10" ht="37.5" customHeight="1" x14ac:dyDescent="0.2">
      <c r="A119" s="128" t="s">
        <v>2161</v>
      </c>
      <c r="B119" s="132" t="s">
        <v>2132</v>
      </c>
      <c r="C119" s="130" t="s">
        <v>587</v>
      </c>
      <c r="D119" s="139" t="s">
        <v>2162</v>
      </c>
      <c r="E119" s="131">
        <v>5</v>
      </c>
      <c r="F119" s="130" t="s">
        <v>2081</v>
      </c>
      <c r="G119" s="132" t="s">
        <v>2082</v>
      </c>
      <c r="H119" s="140" t="s">
        <v>2124</v>
      </c>
      <c r="I119" s="129" t="s">
        <v>1477</v>
      </c>
      <c r="J119" s="130" t="s">
        <v>2081</v>
      </c>
    </row>
    <row r="120" spans="1:10" ht="37.5" customHeight="1" x14ac:dyDescent="0.2">
      <c r="A120" s="128" t="s">
        <v>2163</v>
      </c>
      <c r="B120" s="132" t="s">
        <v>2132</v>
      </c>
      <c r="C120" s="130" t="s">
        <v>587</v>
      </c>
      <c r="D120" s="139" t="s">
        <v>2164</v>
      </c>
      <c r="E120" s="131">
        <v>3</v>
      </c>
      <c r="F120" s="130" t="s">
        <v>2081</v>
      </c>
      <c r="G120" s="132" t="s">
        <v>2082</v>
      </c>
      <c r="H120" s="140" t="s">
        <v>2124</v>
      </c>
      <c r="I120" s="129" t="s">
        <v>1477</v>
      </c>
      <c r="J120" s="130" t="s">
        <v>2081</v>
      </c>
    </row>
    <row r="121" spans="1:10" ht="51.75" customHeight="1" x14ac:dyDescent="0.2">
      <c r="A121" s="133" t="s">
        <v>2165</v>
      </c>
      <c r="B121" s="137" t="s">
        <v>2166</v>
      </c>
      <c r="C121" s="135" t="s">
        <v>618</v>
      </c>
      <c r="D121" s="142" t="s">
        <v>2167</v>
      </c>
      <c r="E121" s="136">
        <v>3</v>
      </c>
      <c r="F121" s="135" t="s">
        <v>2081</v>
      </c>
      <c r="G121" s="137" t="s">
        <v>2082</v>
      </c>
      <c r="H121" s="143" t="s">
        <v>2168</v>
      </c>
      <c r="I121" s="134" t="s">
        <v>1300</v>
      </c>
      <c r="J121" s="135" t="s">
        <v>2081</v>
      </c>
    </row>
    <row r="122" spans="1:10" ht="37.5" customHeight="1" x14ac:dyDescent="0.2">
      <c r="A122" s="133" t="s">
        <v>2169</v>
      </c>
      <c r="B122" s="137" t="s">
        <v>2166</v>
      </c>
      <c r="C122" s="135" t="s">
        <v>618</v>
      </c>
      <c r="D122" s="142" t="s">
        <v>2170</v>
      </c>
      <c r="E122" s="136">
        <v>3</v>
      </c>
      <c r="F122" s="135" t="s">
        <v>2081</v>
      </c>
      <c r="G122" s="137" t="s">
        <v>2082</v>
      </c>
      <c r="H122" s="143" t="s">
        <v>2090</v>
      </c>
      <c r="I122" s="134" t="s">
        <v>1300</v>
      </c>
      <c r="J122" s="135" t="s">
        <v>2081</v>
      </c>
    </row>
    <row r="123" spans="1:10" ht="37.5" customHeight="1" x14ac:dyDescent="0.2">
      <c r="A123" s="133" t="s">
        <v>2171</v>
      </c>
      <c r="B123" s="137" t="s">
        <v>2166</v>
      </c>
      <c r="C123" s="135" t="s">
        <v>618</v>
      </c>
      <c r="D123" s="142" t="s">
        <v>2172</v>
      </c>
      <c r="E123" s="136">
        <v>3</v>
      </c>
      <c r="F123" s="135" t="s">
        <v>2081</v>
      </c>
      <c r="G123" s="137" t="s">
        <v>2082</v>
      </c>
      <c r="H123" s="143" t="s">
        <v>2090</v>
      </c>
      <c r="I123" s="134" t="s">
        <v>1300</v>
      </c>
      <c r="J123" s="135" t="s">
        <v>2081</v>
      </c>
    </row>
    <row r="124" spans="1:10" ht="37.5" customHeight="1" x14ac:dyDescent="0.2">
      <c r="A124" s="133" t="s">
        <v>2173</v>
      </c>
      <c r="B124" s="137" t="s">
        <v>2166</v>
      </c>
      <c r="C124" s="135" t="s">
        <v>618</v>
      </c>
      <c r="D124" s="142" t="s">
        <v>2174</v>
      </c>
      <c r="E124" s="136">
        <v>3</v>
      </c>
      <c r="F124" s="135" t="s">
        <v>2081</v>
      </c>
      <c r="G124" s="137" t="s">
        <v>2082</v>
      </c>
      <c r="H124" s="143" t="s">
        <v>2090</v>
      </c>
      <c r="I124" s="134" t="s">
        <v>1300</v>
      </c>
      <c r="J124" s="135" t="s">
        <v>2081</v>
      </c>
    </row>
    <row r="125" spans="1:10" ht="37.5" customHeight="1" x14ac:dyDescent="0.2">
      <c r="A125" s="133" t="s">
        <v>2175</v>
      </c>
      <c r="B125" s="137" t="s">
        <v>2166</v>
      </c>
      <c r="C125" s="135" t="s">
        <v>618</v>
      </c>
      <c r="D125" s="142" t="s">
        <v>2101</v>
      </c>
      <c r="E125" s="136">
        <v>3</v>
      </c>
      <c r="F125" s="135" t="s">
        <v>2081</v>
      </c>
      <c r="G125" s="137" t="s">
        <v>2082</v>
      </c>
      <c r="H125" s="143" t="s">
        <v>2168</v>
      </c>
      <c r="I125" s="134" t="s">
        <v>1300</v>
      </c>
      <c r="J125" s="135" t="s">
        <v>2081</v>
      </c>
    </row>
    <row r="126" spans="1:10" ht="37.5" customHeight="1" x14ac:dyDescent="0.2">
      <c r="A126" s="133" t="s">
        <v>2176</v>
      </c>
      <c r="B126" s="137" t="s">
        <v>2166</v>
      </c>
      <c r="C126" s="135" t="s">
        <v>618</v>
      </c>
      <c r="D126" s="142" t="s">
        <v>2177</v>
      </c>
      <c r="E126" s="136">
        <v>3</v>
      </c>
      <c r="F126" s="135" t="s">
        <v>2081</v>
      </c>
      <c r="G126" s="137" t="s">
        <v>2082</v>
      </c>
      <c r="H126" s="143" t="s">
        <v>2090</v>
      </c>
      <c r="I126" s="134" t="s">
        <v>1300</v>
      </c>
      <c r="J126" s="135" t="s">
        <v>2081</v>
      </c>
    </row>
    <row r="127" spans="1:10" ht="37.5" customHeight="1" x14ac:dyDescent="0.2">
      <c r="A127" s="133" t="s">
        <v>2178</v>
      </c>
      <c r="B127" s="137" t="s">
        <v>2166</v>
      </c>
      <c r="C127" s="135" t="s">
        <v>618</v>
      </c>
      <c r="D127" s="142" t="s">
        <v>2179</v>
      </c>
      <c r="E127" s="136">
        <v>3</v>
      </c>
      <c r="F127" s="135" t="s">
        <v>2081</v>
      </c>
      <c r="G127" s="137" t="s">
        <v>2082</v>
      </c>
      <c r="H127" s="143" t="s">
        <v>2168</v>
      </c>
      <c r="I127" s="134" t="s">
        <v>1300</v>
      </c>
      <c r="J127" s="135" t="s">
        <v>2081</v>
      </c>
    </row>
    <row r="128" spans="1:10" ht="37.5" customHeight="1" x14ac:dyDescent="0.2">
      <c r="A128" s="133" t="s">
        <v>2180</v>
      </c>
      <c r="B128" s="137" t="s">
        <v>2166</v>
      </c>
      <c r="C128" s="135" t="s">
        <v>618</v>
      </c>
      <c r="D128" s="142" t="s">
        <v>2181</v>
      </c>
      <c r="E128" s="136">
        <v>3</v>
      </c>
      <c r="F128" s="135" t="s">
        <v>2081</v>
      </c>
      <c r="G128" s="137" t="s">
        <v>2082</v>
      </c>
      <c r="H128" s="143" t="s">
        <v>2090</v>
      </c>
      <c r="I128" s="134" t="s">
        <v>1300</v>
      </c>
      <c r="J128" s="135" t="s">
        <v>2081</v>
      </c>
    </row>
    <row r="129" spans="1:10" ht="51.75" customHeight="1" x14ac:dyDescent="0.2">
      <c r="A129" s="133" t="s">
        <v>2182</v>
      </c>
      <c r="B129" s="137" t="s">
        <v>2166</v>
      </c>
      <c r="C129" s="135" t="s">
        <v>618</v>
      </c>
      <c r="D129" s="142" t="s">
        <v>2183</v>
      </c>
      <c r="E129" s="136">
        <v>3</v>
      </c>
      <c r="F129" s="135" t="s">
        <v>2081</v>
      </c>
      <c r="G129" s="137" t="s">
        <v>2082</v>
      </c>
      <c r="H129" s="143" t="s">
        <v>2090</v>
      </c>
      <c r="I129" s="134" t="s">
        <v>1300</v>
      </c>
      <c r="J129" s="135" t="s">
        <v>2081</v>
      </c>
    </row>
    <row r="130" spans="1:10" ht="37.5" customHeight="1" x14ac:dyDescent="0.2">
      <c r="A130" s="133" t="s">
        <v>2184</v>
      </c>
      <c r="B130" s="137" t="s">
        <v>2166</v>
      </c>
      <c r="C130" s="135" t="s">
        <v>618</v>
      </c>
      <c r="D130" s="142" t="s">
        <v>2185</v>
      </c>
      <c r="E130" s="136">
        <v>3</v>
      </c>
      <c r="F130" s="135" t="s">
        <v>2081</v>
      </c>
      <c r="G130" s="137" t="s">
        <v>2082</v>
      </c>
      <c r="H130" s="143" t="s">
        <v>2090</v>
      </c>
      <c r="I130" s="134" t="s">
        <v>1300</v>
      </c>
      <c r="J130" s="135" t="s">
        <v>2081</v>
      </c>
    </row>
    <row r="131" spans="1:10" ht="51.75" customHeight="1" x14ac:dyDescent="0.2">
      <c r="A131" s="133" t="s">
        <v>2186</v>
      </c>
      <c r="B131" s="137" t="s">
        <v>2166</v>
      </c>
      <c r="C131" s="135" t="s">
        <v>618</v>
      </c>
      <c r="D131" s="142" t="s">
        <v>2187</v>
      </c>
      <c r="E131" s="136">
        <v>3</v>
      </c>
      <c r="F131" s="135" t="s">
        <v>2081</v>
      </c>
      <c r="G131" s="137" t="s">
        <v>2082</v>
      </c>
      <c r="H131" s="143" t="s">
        <v>2090</v>
      </c>
      <c r="I131" s="134" t="s">
        <v>1300</v>
      </c>
      <c r="J131" s="135" t="s">
        <v>2081</v>
      </c>
    </row>
    <row r="132" spans="1:10" ht="37.5" customHeight="1" x14ac:dyDescent="0.2">
      <c r="A132" s="133" t="s">
        <v>2188</v>
      </c>
      <c r="B132" s="137" t="s">
        <v>2166</v>
      </c>
      <c r="C132" s="135" t="s">
        <v>618</v>
      </c>
      <c r="D132" s="142" t="s">
        <v>2177</v>
      </c>
      <c r="E132" s="136">
        <v>3</v>
      </c>
      <c r="F132" s="135" t="s">
        <v>2081</v>
      </c>
      <c r="G132" s="137" t="s">
        <v>2082</v>
      </c>
      <c r="H132" s="143" t="s">
        <v>2090</v>
      </c>
      <c r="I132" s="134" t="s">
        <v>1300</v>
      </c>
      <c r="J132" s="135" t="s">
        <v>2081</v>
      </c>
    </row>
    <row r="133" spans="1:10" ht="37.5" customHeight="1" x14ac:dyDescent="0.2">
      <c r="A133" s="133" t="s">
        <v>2189</v>
      </c>
      <c r="B133" s="137" t="s">
        <v>2166</v>
      </c>
      <c r="C133" s="135" t="s">
        <v>618</v>
      </c>
      <c r="D133" s="142" t="s">
        <v>2190</v>
      </c>
      <c r="E133" s="136">
        <v>3</v>
      </c>
      <c r="F133" s="135" t="s">
        <v>2081</v>
      </c>
      <c r="G133" s="137" t="s">
        <v>2082</v>
      </c>
      <c r="H133" s="143" t="s">
        <v>2090</v>
      </c>
      <c r="I133" s="134" t="s">
        <v>1300</v>
      </c>
      <c r="J133" s="135" t="s">
        <v>2081</v>
      </c>
    </row>
    <row r="134" spans="1:10" ht="37.5" customHeight="1" x14ac:dyDescent="0.2">
      <c r="A134" s="128" t="s">
        <v>2191</v>
      </c>
      <c r="B134" s="132" t="s">
        <v>2192</v>
      </c>
      <c r="C134" s="130" t="s">
        <v>618</v>
      </c>
      <c r="D134" s="139" t="s">
        <v>2193</v>
      </c>
      <c r="E134" s="131">
        <v>3</v>
      </c>
      <c r="F134" s="130" t="s">
        <v>2081</v>
      </c>
      <c r="G134" s="132" t="s">
        <v>2082</v>
      </c>
      <c r="H134" s="140" t="s">
        <v>2090</v>
      </c>
      <c r="I134" s="129" t="s">
        <v>2194</v>
      </c>
      <c r="J134" s="130" t="s">
        <v>2081</v>
      </c>
    </row>
    <row r="135" spans="1:10" ht="37.5" customHeight="1" x14ac:dyDescent="0.2">
      <c r="A135" s="128" t="s">
        <v>2195</v>
      </c>
      <c r="B135" s="132" t="s">
        <v>2192</v>
      </c>
      <c r="C135" s="130" t="s">
        <v>618</v>
      </c>
      <c r="D135" s="139" t="s">
        <v>2196</v>
      </c>
      <c r="E135" s="131">
        <v>3</v>
      </c>
      <c r="F135" s="130" t="s">
        <v>2081</v>
      </c>
      <c r="G135" s="132" t="s">
        <v>2082</v>
      </c>
      <c r="H135" s="140" t="s">
        <v>2148</v>
      </c>
      <c r="I135" s="129" t="s">
        <v>2194</v>
      </c>
      <c r="J135" s="130" t="s">
        <v>2081</v>
      </c>
    </row>
    <row r="136" spans="1:10" ht="37.5" customHeight="1" x14ac:dyDescent="0.2">
      <c r="A136" s="128" t="s">
        <v>2197</v>
      </c>
      <c r="B136" s="132" t="s">
        <v>2192</v>
      </c>
      <c r="C136" s="130" t="s">
        <v>618</v>
      </c>
      <c r="D136" s="139" t="s">
        <v>2193</v>
      </c>
      <c r="E136" s="131">
        <v>3</v>
      </c>
      <c r="F136" s="130" t="s">
        <v>2081</v>
      </c>
      <c r="G136" s="132" t="s">
        <v>2082</v>
      </c>
      <c r="H136" s="140" t="s">
        <v>2090</v>
      </c>
      <c r="I136" s="129" t="s">
        <v>2194</v>
      </c>
      <c r="J136" s="130" t="s">
        <v>2081</v>
      </c>
    </row>
    <row r="137" spans="1:10" ht="37.5" customHeight="1" x14ac:dyDescent="0.2">
      <c r="A137" s="128" t="s">
        <v>2198</v>
      </c>
      <c r="B137" s="132" t="s">
        <v>2192</v>
      </c>
      <c r="C137" s="130" t="s">
        <v>618</v>
      </c>
      <c r="D137" s="139" t="s">
        <v>2199</v>
      </c>
      <c r="E137" s="131">
        <v>3</v>
      </c>
      <c r="F137" s="130" t="s">
        <v>2081</v>
      </c>
      <c r="G137" s="132" t="s">
        <v>2082</v>
      </c>
      <c r="H137" s="140" t="s">
        <v>2090</v>
      </c>
      <c r="I137" s="129" t="s">
        <v>2194</v>
      </c>
      <c r="J137" s="130" t="s">
        <v>2081</v>
      </c>
    </row>
    <row r="138" spans="1:10" ht="37.5" customHeight="1" x14ac:dyDescent="0.2">
      <c r="A138" s="128" t="s">
        <v>2200</v>
      </c>
      <c r="B138" s="132" t="s">
        <v>2192</v>
      </c>
      <c r="C138" s="130" t="s">
        <v>618</v>
      </c>
      <c r="D138" s="139" t="s">
        <v>2201</v>
      </c>
      <c r="E138" s="131">
        <v>3</v>
      </c>
      <c r="F138" s="130" t="s">
        <v>2081</v>
      </c>
      <c r="G138" s="132" t="s">
        <v>2082</v>
      </c>
      <c r="H138" s="140" t="s">
        <v>2083</v>
      </c>
      <c r="I138" s="129" t="s">
        <v>2194</v>
      </c>
      <c r="J138" s="130" t="s">
        <v>2081</v>
      </c>
    </row>
    <row r="139" spans="1:10" ht="37.5" customHeight="1" x14ac:dyDescent="0.2">
      <c r="A139" s="128" t="s">
        <v>2202</v>
      </c>
      <c r="B139" s="132" t="s">
        <v>2192</v>
      </c>
      <c r="C139" s="130" t="s">
        <v>618</v>
      </c>
      <c r="D139" s="139" t="s">
        <v>2193</v>
      </c>
      <c r="E139" s="131">
        <v>3</v>
      </c>
      <c r="F139" s="130" t="s">
        <v>2081</v>
      </c>
      <c r="G139" s="132" t="s">
        <v>2082</v>
      </c>
      <c r="H139" s="140" t="s">
        <v>2090</v>
      </c>
      <c r="I139" s="129" t="s">
        <v>2194</v>
      </c>
      <c r="J139" s="130" t="s">
        <v>2081</v>
      </c>
    </row>
    <row r="140" spans="1:10" ht="37.5" customHeight="1" x14ac:dyDescent="0.2">
      <c r="A140" s="133" t="s">
        <v>2203</v>
      </c>
      <c r="B140" s="137" t="s">
        <v>2204</v>
      </c>
      <c r="C140" s="135" t="s">
        <v>615</v>
      </c>
      <c r="D140" s="142" t="s">
        <v>2205</v>
      </c>
      <c r="E140" s="136">
        <v>3</v>
      </c>
      <c r="F140" s="135" t="s">
        <v>2081</v>
      </c>
      <c r="G140" s="137" t="s">
        <v>2082</v>
      </c>
      <c r="H140" s="143" t="s">
        <v>2119</v>
      </c>
      <c r="I140" s="134" t="s">
        <v>1400</v>
      </c>
      <c r="J140" s="135" t="s">
        <v>2081</v>
      </c>
    </row>
    <row r="141" spans="1:10" ht="37.5" customHeight="1" x14ac:dyDescent="0.2">
      <c r="A141" s="133" t="s">
        <v>2206</v>
      </c>
      <c r="B141" s="137" t="s">
        <v>2204</v>
      </c>
      <c r="C141" s="135" t="s">
        <v>615</v>
      </c>
      <c r="D141" s="142" t="s">
        <v>2207</v>
      </c>
      <c r="E141" s="136">
        <v>5</v>
      </c>
      <c r="F141" s="135" t="s">
        <v>2081</v>
      </c>
      <c r="G141" s="137" t="s">
        <v>2082</v>
      </c>
      <c r="H141" s="143" t="s">
        <v>2208</v>
      </c>
      <c r="I141" s="134" t="s">
        <v>1400</v>
      </c>
      <c r="J141" s="135" t="s">
        <v>2081</v>
      </c>
    </row>
    <row r="142" spans="1:10" ht="37.5" customHeight="1" x14ac:dyDescent="0.2">
      <c r="A142" s="133" t="s">
        <v>2209</v>
      </c>
      <c r="B142" s="137" t="s">
        <v>2204</v>
      </c>
      <c r="C142" s="135" t="s">
        <v>615</v>
      </c>
      <c r="D142" s="142" t="s">
        <v>2210</v>
      </c>
      <c r="E142" s="136">
        <v>3</v>
      </c>
      <c r="F142" s="135" t="s">
        <v>2081</v>
      </c>
      <c r="G142" s="137" t="s">
        <v>2082</v>
      </c>
      <c r="H142" s="143" t="s">
        <v>2208</v>
      </c>
      <c r="I142" s="134" t="s">
        <v>1400</v>
      </c>
      <c r="J142" s="135" t="s">
        <v>2081</v>
      </c>
    </row>
    <row r="143" spans="1:10" ht="37.5" customHeight="1" x14ac:dyDescent="0.2">
      <c r="A143" s="133" t="s">
        <v>2211</v>
      </c>
      <c r="B143" s="137" t="s">
        <v>2204</v>
      </c>
      <c r="C143" s="135" t="s">
        <v>615</v>
      </c>
      <c r="D143" s="142" t="s">
        <v>2212</v>
      </c>
      <c r="E143" s="136">
        <v>3</v>
      </c>
      <c r="F143" s="135" t="s">
        <v>2081</v>
      </c>
      <c r="G143" s="137" t="s">
        <v>2082</v>
      </c>
      <c r="H143" s="143" t="s">
        <v>2087</v>
      </c>
      <c r="I143" s="134" t="s">
        <v>1400</v>
      </c>
      <c r="J143" s="135" t="s">
        <v>2081</v>
      </c>
    </row>
    <row r="144" spans="1:10" ht="37.5" customHeight="1" x14ac:dyDescent="0.2">
      <c r="A144" s="133" t="s">
        <v>2213</v>
      </c>
      <c r="B144" s="137" t="s">
        <v>2204</v>
      </c>
      <c r="C144" s="135" t="s">
        <v>615</v>
      </c>
      <c r="D144" s="142" t="s">
        <v>2214</v>
      </c>
      <c r="E144" s="136">
        <v>3</v>
      </c>
      <c r="F144" s="135" t="s">
        <v>2081</v>
      </c>
      <c r="G144" s="137" t="s">
        <v>2082</v>
      </c>
      <c r="H144" s="143" t="s">
        <v>2208</v>
      </c>
      <c r="I144" s="134" t="s">
        <v>1400</v>
      </c>
      <c r="J144" s="135" t="s">
        <v>2081</v>
      </c>
    </row>
    <row r="145" spans="1:10" ht="37.5" customHeight="1" x14ac:dyDescent="0.2">
      <c r="A145" s="133" t="s">
        <v>2215</v>
      </c>
      <c r="B145" s="137" t="s">
        <v>2204</v>
      </c>
      <c r="C145" s="135" t="s">
        <v>615</v>
      </c>
      <c r="D145" s="142" t="s">
        <v>2216</v>
      </c>
      <c r="E145" s="136">
        <v>3</v>
      </c>
      <c r="F145" s="135" t="s">
        <v>2081</v>
      </c>
      <c r="G145" s="137" t="s">
        <v>2082</v>
      </c>
      <c r="H145" s="143" t="s">
        <v>2119</v>
      </c>
      <c r="I145" s="134" t="s">
        <v>1400</v>
      </c>
      <c r="J145" s="135" t="s">
        <v>2081</v>
      </c>
    </row>
    <row r="146" spans="1:10" ht="37.5" customHeight="1" x14ac:dyDescent="0.2">
      <c r="A146" s="133" t="s">
        <v>2217</v>
      </c>
      <c r="B146" s="137" t="s">
        <v>2204</v>
      </c>
      <c r="C146" s="135" t="s">
        <v>615</v>
      </c>
      <c r="D146" s="142" t="s">
        <v>2210</v>
      </c>
      <c r="E146" s="136">
        <v>3</v>
      </c>
      <c r="F146" s="135" t="s">
        <v>2081</v>
      </c>
      <c r="G146" s="137" t="s">
        <v>2082</v>
      </c>
      <c r="H146" s="143" t="s">
        <v>2208</v>
      </c>
      <c r="I146" s="134" t="s">
        <v>1400</v>
      </c>
      <c r="J146" s="135" t="s">
        <v>2081</v>
      </c>
    </row>
    <row r="147" spans="1:10" ht="37.5" customHeight="1" x14ac:dyDescent="0.2">
      <c r="A147" s="133" t="s">
        <v>2218</v>
      </c>
      <c r="B147" s="137" t="s">
        <v>2204</v>
      </c>
      <c r="C147" s="135" t="s">
        <v>615</v>
      </c>
      <c r="D147" s="142" t="s">
        <v>2210</v>
      </c>
      <c r="E147" s="136">
        <v>3</v>
      </c>
      <c r="F147" s="135" t="s">
        <v>2081</v>
      </c>
      <c r="G147" s="137" t="s">
        <v>2082</v>
      </c>
      <c r="H147" s="143" t="s">
        <v>2208</v>
      </c>
      <c r="I147" s="134" t="s">
        <v>1400</v>
      </c>
      <c r="J147" s="135" t="s">
        <v>2081</v>
      </c>
    </row>
    <row r="148" spans="1:10" ht="37.5" customHeight="1" x14ac:dyDescent="0.2">
      <c r="A148" s="133" t="s">
        <v>2219</v>
      </c>
      <c r="B148" s="137" t="s">
        <v>2204</v>
      </c>
      <c r="C148" s="135" t="s">
        <v>615</v>
      </c>
      <c r="D148" s="142" t="s">
        <v>2107</v>
      </c>
      <c r="E148" s="136">
        <v>3</v>
      </c>
      <c r="F148" s="135" t="s">
        <v>2081</v>
      </c>
      <c r="G148" s="137" t="s">
        <v>2082</v>
      </c>
      <c r="H148" s="143" t="s">
        <v>2087</v>
      </c>
      <c r="I148" s="134" t="s">
        <v>1400</v>
      </c>
      <c r="J148" s="135" t="s">
        <v>2081</v>
      </c>
    </row>
    <row r="149" spans="1:10" ht="37.5" customHeight="1" x14ac:dyDescent="0.2">
      <c r="A149" s="133" t="s">
        <v>2220</v>
      </c>
      <c r="B149" s="137" t="s">
        <v>2204</v>
      </c>
      <c r="C149" s="135" t="s">
        <v>615</v>
      </c>
      <c r="D149" s="142" t="s">
        <v>2221</v>
      </c>
      <c r="E149" s="136">
        <v>3</v>
      </c>
      <c r="F149" s="135" t="s">
        <v>2081</v>
      </c>
      <c r="G149" s="137" t="s">
        <v>2082</v>
      </c>
      <c r="H149" s="143" t="s">
        <v>2087</v>
      </c>
      <c r="I149" s="134" t="s">
        <v>1400</v>
      </c>
      <c r="J149" s="135" t="s">
        <v>2081</v>
      </c>
    </row>
    <row r="150" spans="1:10" ht="37.5" customHeight="1" x14ac:dyDescent="0.2">
      <c r="A150" s="133" t="s">
        <v>2222</v>
      </c>
      <c r="B150" s="137" t="s">
        <v>2204</v>
      </c>
      <c r="C150" s="135" t="s">
        <v>615</v>
      </c>
      <c r="D150" s="142" t="s">
        <v>2223</v>
      </c>
      <c r="E150" s="136">
        <v>3</v>
      </c>
      <c r="F150" s="135" t="s">
        <v>2081</v>
      </c>
      <c r="G150" s="137" t="s">
        <v>2082</v>
      </c>
      <c r="H150" s="143" t="s">
        <v>2090</v>
      </c>
      <c r="I150" s="134" t="s">
        <v>1400</v>
      </c>
      <c r="J150" s="135" t="s">
        <v>2081</v>
      </c>
    </row>
    <row r="151" spans="1:10" ht="51.75" customHeight="1" x14ac:dyDescent="0.2">
      <c r="A151" s="128" t="s">
        <v>2224</v>
      </c>
      <c r="B151" s="132" t="s">
        <v>2225</v>
      </c>
      <c r="C151" s="130" t="s">
        <v>624</v>
      </c>
      <c r="D151" s="139" t="s">
        <v>2226</v>
      </c>
      <c r="E151" s="131">
        <v>3</v>
      </c>
      <c r="F151" s="130" t="s">
        <v>2081</v>
      </c>
      <c r="G151" s="132" t="s">
        <v>2082</v>
      </c>
      <c r="H151" s="140" t="s">
        <v>2119</v>
      </c>
      <c r="I151" s="129" t="s">
        <v>2227</v>
      </c>
      <c r="J151" s="130" t="s">
        <v>2081</v>
      </c>
    </row>
    <row r="152" spans="1:10" ht="37.5" customHeight="1" x14ac:dyDescent="0.2">
      <c r="A152" s="128" t="s">
        <v>2228</v>
      </c>
      <c r="B152" s="132" t="s">
        <v>2225</v>
      </c>
      <c r="C152" s="130" t="s">
        <v>624</v>
      </c>
      <c r="D152" s="139" t="s">
        <v>2229</v>
      </c>
      <c r="E152" s="131">
        <v>3</v>
      </c>
      <c r="F152" s="130" t="s">
        <v>2081</v>
      </c>
      <c r="G152" s="132" t="s">
        <v>2082</v>
      </c>
      <c r="H152" s="140" t="s">
        <v>2119</v>
      </c>
      <c r="I152" s="129" t="s">
        <v>2227</v>
      </c>
      <c r="J152" s="130" t="s">
        <v>2081</v>
      </c>
    </row>
    <row r="153" spans="1:10" ht="37.5" customHeight="1" x14ac:dyDescent="0.2">
      <c r="A153" s="128" t="s">
        <v>2230</v>
      </c>
      <c r="B153" s="132" t="s">
        <v>2225</v>
      </c>
      <c r="C153" s="130" t="s">
        <v>624</v>
      </c>
      <c r="D153" s="139" t="s">
        <v>2229</v>
      </c>
      <c r="E153" s="131">
        <v>3</v>
      </c>
      <c r="F153" s="130" t="s">
        <v>2081</v>
      </c>
      <c r="G153" s="132" t="s">
        <v>2082</v>
      </c>
      <c r="H153" s="140" t="s">
        <v>2119</v>
      </c>
      <c r="I153" s="129" t="s">
        <v>2227</v>
      </c>
      <c r="J153" s="130" t="s">
        <v>2081</v>
      </c>
    </row>
    <row r="154" spans="1:10" ht="37.5" customHeight="1" x14ac:dyDescent="0.2">
      <c r="A154" s="128" t="s">
        <v>2231</v>
      </c>
      <c r="B154" s="132" t="s">
        <v>2225</v>
      </c>
      <c r="C154" s="130" t="s">
        <v>624</v>
      </c>
      <c r="D154" s="139" t="s">
        <v>2232</v>
      </c>
      <c r="E154" s="131">
        <v>3</v>
      </c>
      <c r="F154" s="130" t="s">
        <v>2081</v>
      </c>
      <c r="G154" s="132" t="s">
        <v>2082</v>
      </c>
      <c r="H154" s="140" t="s">
        <v>2090</v>
      </c>
      <c r="I154" s="129" t="s">
        <v>2227</v>
      </c>
      <c r="J154" s="130" t="s">
        <v>2081</v>
      </c>
    </row>
    <row r="155" spans="1:10" ht="37.5" customHeight="1" x14ac:dyDescent="0.2">
      <c r="A155" s="128" t="s">
        <v>2233</v>
      </c>
      <c r="B155" s="132" t="s">
        <v>2225</v>
      </c>
      <c r="C155" s="130" t="s">
        <v>624</v>
      </c>
      <c r="D155" s="139" t="s">
        <v>2234</v>
      </c>
      <c r="E155" s="131">
        <v>3</v>
      </c>
      <c r="F155" s="130" t="s">
        <v>2081</v>
      </c>
      <c r="G155" s="132" t="s">
        <v>2082</v>
      </c>
      <c r="H155" s="140" t="s">
        <v>2090</v>
      </c>
      <c r="I155" s="129" t="s">
        <v>2227</v>
      </c>
      <c r="J155" s="130" t="s">
        <v>2081</v>
      </c>
    </row>
    <row r="156" spans="1:10" ht="37.5" customHeight="1" x14ac:dyDescent="0.2">
      <c r="A156" s="128" t="s">
        <v>2235</v>
      </c>
      <c r="B156" s="132" t="s">
        <v>2225</v>
      </c>
      <c r="C156" s="130" t="s">
        <v>624</v>
      </c>
      <c r="D156" s="139" t="s">
        <v>2236</v>
      </c>
      <c r="E156" s="131">
        <v>3</v>
      </c>
      <c r="F156" s="130" t="s">
        <v>2081</v>
      </c>
      <c r="G156" s="132" t="s">
        <v>2082</v>
      </c>
      <c r="H156" s="140" t="s">
        <v>2090</v>
      </c>
      <c r="I156" s="129" t="s">
        <v>2227</v>
      </c>
      <c r="J156" s="130" t="s">
        <v>2081</v>
      </c>
    </row>
    <row r="157" spans="1:10" ht="37.5" customHeight="1" x14ac:dyDescent="0.2">
      <c r="A157" s="128" t="s">
        <v>2237</v>
      </c>
      <c r="B157" s="132" t="s">
        <v>2225</v>
      </c>
      <c r="C157" s="130" t="s">
        <v>624</v>
      </c>
      <c r="D157" s="139" t="s">
        <v>2238</v>
      </c>
      <c r="E157" s="131">
        <v>5</v>
      </c>
      <c r="F157" s="130" t="s">
        <v>2081</v>
      </c>
      <c r="G157" s="132" t="s">
        <v>2082</v>
      </c>
      <c r="H157" s="140" t="s">
        <v>2090</v>
      </c>
      <c r="I157" s="129" t="s">
        <v>2227</v>
      </c>
      <c r="J157" s="130" t="s">
        <v>2081</v>
      </c>
    </row>
    <row r="158" spans="1:10" ht="37.5" customHeight="1" x14ac:dyDescent="0.2">
      <c r="A158" s="128" t="s">
        <v>2239</v>
      </c>
      <c r="B158" s="132" t="s">
        <v>2225</v>
      </c>
      <c r="C158" s="130" t="s">
        <v>624</v>
      </c>
      <c r="D158" s="139" t="s">
        <v>2240</v>
      </c>
      <c r="E158" s="131">
        <v>3</v>
      </c>
      <c r="F158" s="130" t="s">
        <v>2081</v>
      </c>
      <c r="G158" s="132" t="s">
        <v>2082</v>
      </c>
      <c r="H158" s="140" t="s">
        <v>2119</v>
      </c>
      <c r="I158" s="129" t="s">
        <v>2227</v>
      </c>
      <c r="J158" s="130" t="s">
        <v>2081</v>
      </c>
    </row>
    <row r="159" spans="1:10" ht="37.5" customHeight="1" x14ac:dyDescent="0.2">
      <c r="A159" s="128" t="s">
        <v>2241</v>
      </c>
      <c r="B159" s="132" t="s">
        <v>2225</v>
      </c>
      <c r="C159" s="130" t="s">
        <v>624</v>
      </c>
      <c r="D159" s="139" t="s">
        <v>2242</v>
      </c>
      <c r="E159" s="131">
        <v>5</v>
      </c>
      <c r="F159" s="130" t="s">
        <v>2081</v>
      </c>
      <c r="G159" s="132" t="s">
        <v>2082</v>
      </c>
      <c r="H159" s="140" t="s">
        <v>2119</v>
      </c>
      <c r="I159" s="129" t="s">
        <v>2227</v>
      </c>
      <c r="J159" s="130" t="s">
        <v>2081</v>
      </c>
    </row>
    <row r="160" spans="1:10" ht="37.5" customHeight="1" x14ac:dyDescent="0.2">
      <c r="A160" s="128" t="s">
        <v>2243</v>
      </c>
      <c r="B160" s="132" t="s">
        <v>2225</v>
      </c>
      <c r="C160" s="130" t="s">
        <v>624</v>
      </c>
      <c r="D160" s="139" t="s">
        <v>2244</v>
      </c>
      <c r="E160" s="131">
        <v>3</v>
      </c>
      <c r="F160" s="130" t="s">
        <v>2081</v>
      </c>
      <c r="G160" s="132" t="s">
        <v>2082</v>
      </c>
      <c r="H160" s="140" t="s">
        <v>2090</v>
      </c>
      <c r="I160" s="129" t="s">
        <v>2227</v>
      </c>
      <c r="J160" s="130" t="s">
        <v>2081</v>
      </c>
    </row>
    <row r="161" spans="1:10" ht="37.5" customHeight="1" x14ac:dyDescent="0.2">
      <c r="A161" s="128" t="s">
        <v>2245</v>
      </c>
      <c r="B161" s="132" t="s">
        <v>2225</v>
      </c>
      <c r="C161" s="130" t="s">
        <v>624</v>
      </c>
      <c r="D161" s="139" t="s">
        <v>2246</v>
      </c>
      <c r="E161" s="131">
        <v>3</v>
      </c>
      <c r="F161" s="130" t="s">
        <v>2081</v>
      </c>
      <c r="G161" s="132" t="s">
        <v>2082</v>
      </c>
      <c r="H161" s="140" t="s">
        <v>2090</v>
      </c>
      <c r="I161" s="129" t="s">
        <v>2227</v>
      </c>
      <c r="J161" s="130" t="s">
        <v>2081</v>
      </c>
    </row>
    <row r="162" spans="1:10" ht="37.5" customHeight="1" x14ac:dyDescent="0.2">
      <c r="A162" s="128" t="s">
        <v>2247</v>
      </c>
      <c r="B162" s="132" t="s">
        <v>2225</v>
      </c>
      <c r="C162" s="130" t="s">
        <v>624</v>
      </c>
      <c r="D162" s="139" t="s">
        <v>2246</v>
      </c>
      <c r="E162" s="131">
        <v>3</v>
      </c>
      <c r="F162" s="130" t="s">
        <v>2081</v>
      </c>
      <c r="G162" s="132" t="s">
        <v>2082</v>
      </c>
      <c r="H162" s="140" t="s">
        <v>2090</v>
      </c>
      <c r="I162" s="129" t="s">
        <v>2227</v>
      </c>
      <c r="J162" s="130" t="s">
        <v>2081</v>
      </c>
    </row>
    <row r="163" spans="1:10" ht="37.5" customHeight="1" x14ac:dyDescent="0.2">
      <c r="A163" s="133" t="s">
        <v>2248</v>
      </c>
      <c r="B163" s="137" t="s">
        <v>2249</v>
      </c>
      <c r="C163" s="135" t="s">
        <v>611</v>
      </c>
      <c r="D163" s="142" t="s">
        <v>2250</v>
      </c>
      <c r="E163" s="136">
        <v>3</v>
      </c>
      <c r="F163" s="135" t="s">
        <v>2081</v>
      </c>
      <c r="G163" s="137" t="s">
        <v>2082</v>
      </c>
      <c r="H163" s="143" t="s">
        <v>2148</v>
      </c>
      <c r="I163" s="134" t="s">
        <v>1902</v>
      </c>
      <c r="J163" s="135" t="s">
        <v>2081</v>
      </c>
    </row>
    <row r="164" spans="1:10" ht="37.5" customHeight="1" x14ac:dyDescent="0.2">
      <c r="A164" s="133" t="s">
        <v>2251</v>
      </c>
      <c r="B164" s="137" t="s">
        <v>2249</v>
      </c>
      <c r="C164" s="135" t="s">
        <v>611</v>
      </c>
      <c r="D164" s="142" t="s">
        <v>2252</v>
      </c>
      <c r="E164" s="136">
        <v>3</v>
      </c>
      <c r="F164" s="135" t="s">
        <v>2081</v>
      </c>
      <c r="G164" s="137" t="s">
        <v>2082</v>
      </c>
      <c r="H164" s="143" t="s">
        <v>2148</v>
      </c>
      <c r="I164" s="134" t="s">
        <v>1902</v>
      </c>
      <c r="J164" s="135" t="s">
        <v>2081</v>
      </c>
    </row>
    <row r="165" spans="1:10" ht="37.5" customHeight="1" x14ac:dyDescent="0.2">
      <c r="A165" s="133" t="s">
        <v>2253</v>
      </c>
      <c r="B165" s="137" t="s">
        <v>2249</v>
      </c>
      <c r="C165" s="135" t="s">
        <v>611</v>
      </c>
      <c r="D165" s="142" t="s">
        <v>2254</v>
      </c>
      <c r="E165" s="136">
        <v>3</v>
      </c>
      <c r="F165" s="135" t="s">
        <v>2081</v>
      </c>
      <c r="G165" s="137" t="s">
        <v>2082</v>
      </c>
      <c r="H165" s="143" t="s">
        <v>2148</v>
      </c>
      <c r="I165" s="134" t="s">
        <v>1902</v>
      </c>
      <c r="J165" s="135" t="s">
        <v>2081</v>
      </c>
    </row>
    <row r="166" spans="1:10" ht="37.5" customHeight="1" x14ac:dyDescent="0.2">
      <c r="A166" s="133" t="s">
        <v>2255</v>
      </c>
      <c r="B166" s="137" t="s">
        <v>2249</v>
      </c>
      <c r="C166" s="135" t="s">
        <v>611</v>
      </c>
      <c r="D166" s="142" t="s">
        <v>2256</v>
      </c>
      <c r="E166" s="136">
        <v>5</v>
      </c>
      <c r="F166" s="135" t="s">
        <v>2081</v>
      </c>
      <c r="G166" s="137" t="s">
        <v>2082</v>
      </c>
      <c r="H166" s="143" t="s">
        <v>2148</v>
      </c>
      <c r="I166" s="134" t="s">
        <v>1902</v>
      </c>
      <c r="J166" s="135" t="s">
        <v>2081</v>
      </c>
    </row>
    <row r="167" spans="1:10" ht="37.5" customHeight="1" x14ac:dyDescent="0.2">
      <c r="A167" s="133" t="s">
        <v>2257</v>
      </c>
      <c r="B167" s="137" t="s">
        <v>2249</v>
      </c>
      <c r="C167" s="135" t="s">
        <v>611</v>
      </c>
      <c r="D167" s="142" t="s">
        <v>2258</v>
      </c>
      <c r="E167" s="136">
        <v>2</v>
      </c>
      <c r="F167" s="135" t="s">
        <v>2081</v>
      </c>
      <c r="G167" s="137" t="s">
        <v>2082</v>
      </c>
      <c r="H167" s="143" t="s">
        <v>2148</v>
      </c>
      <c r="I167" s="134" t="s">
        <v>1902</v>
      </c>
      <c r="J167" s="135" t="s">
        <v>2081</v>
      </c>
    </row>
    <row r="168" spans="1:10" ht="37.5" customHeight="1" x14ac:dyDescent="0.2">
      <c r="A168" s="133" t="s">
        <v>2259</v>
      </c>
      <c r="B168" s="137" t="s">
        <v>2249</v>
      </c>
      <c r="C168" s="135" t="s">
        <v>611</v>
      </c>
      <c r="D168" s="142" t="s">
        <v>2260</v>
      </c>
      <c r="E168" s="136">
        <v>3</v>
      </c>
      <c r="F168" s="135" t="s">
        <v>2081</v>
      </c>
      <c r="G168" s="137" t="s">
        <v>2082</v>
      </c>
      <c r="H168" s="143" t="s">
        <v>2148</v>
      </c>
      <c r="I168" s="134" t="s">
        <v>1902</v>
      </c>
      <c r="J168" s="135" t="s">
        <v>2081</v>
      </c>
    </row>
    <row r="169" spans="1:10" ht="37.5" customHeight="1" x14ac:dyDescent="0.2">
      <c r="A169" s="133" t="s">
        <v>2261</v>
      </c>
      <c r="B169" s="137" t="s">
        <v>2249</v>
      </c>
      <c r="C169" s="135" t="s">
        <v>611</v>
      </c>
      <c r="D169" s="142" t="s">
        <v>2262</v>
      </c>
      <c r="E169" s="136">
        <v>3</v>
      </c>
      <c r="F169" s="135" t="s">
        <v>2081</v>
      </c>
      <c r="G169" s="137" t="s">
        <v>2082</v>
      </c>
      <c r="H169" s="143" t="s">
        <v>2090</v>
      </c>
      <c r="I169" s="134" t="s">
        <v>1902</v>
      </c>
      <c r="J169" s="135" t="s">
        <v>2081</v>
      </c>
    </row>
    <row r="170" spans="1:10" ht="37.5" customHeight="1" x14ac:dyDescent="0.2">
      <c r="A170" s="133" t="s">
        <v>2263</v>
      </c>
      <c r="B170" s="137" t="s">
        <v>2249</v>
      </c>
      <c r="C170" s="135" t="s">
        <v>611</v>
      </c>
      <c r="D170" s="142" t="s">
        <v>2264</v>
      </c>
      <c r="E170" s="136">
        <v>3</v>
      </c>
      <c r="F170" s="135" t="s">
        <v>2081</v>
      </c>
      <c r="G170" s="137" t="s">
        <v>2082</v>
      </c>
      <c r="H170" s="143" t="s">
        <v>2090</v>
      </c>
      <c r="I170" s="134" t="s">
        <v>1902</v>
      </c>
      <c r="J170" s="135" t="s">
        <v>2081</v>
      </c>
    </row>
    <row r="171" spans="1:10" ht="37.5" customHeight="1" x14ac:dyDescent="0.2">
      <c r="A171" s="133" t="s">
        <v>2265</v>
      </c>
      <c r="B171" s="137" t="s">
        <v>2249</v>
      </c>
      <c r="C171" s="135" t="s">
        <v>611</v>
      </c>
      <c r="D171" s="142" t="s">
        <v>2266</v>
      </c>
      <c r="E171" s="136">
        <v>3</v>
      </c>
      <c r="F171" s="135" t="s">
        <v>2081</v>
      </c>
      <c r="G171" s="137" t="s">
        <v>2082</v>
      </c>
      <c r="H171" s="143" t="s">
        <v>2148</v>
      </c>
      <c r="I171" s="134" t="s">
        <v>1902</v>
      </c>
      <c r="J171" s="135" t="s">
        <v>2081</v>
      </c>
    </row>
    <row r="172" spans="1:10" ht="37.5" customHeight="1" x14ac:dyDescent="0.2">
      <c r="A172" s="128" t="s">
        <v>2267</v>
      </c>
      <c r="B172" s="132" t="s">
        <v>2268</v>
      </c>
      <c r="C172" s="130" t="s">
        <v>595</v>
      </c>
      <c r="D172" s="139" t="s">
        <v>2269</v>
      </c>
      <c r="E172" s="131">
        <v>3</v>
      </c>
      <c r="F172" s="130" t="s">
        <v>2081</v>
      </c>
      <c r="G172" s="132" t="s">
        <v>2082</v>
      </c>
      <c r="H172" s="140" t="s">
        <v>2093</v>
      </c>
      <c r="I172" s="129" t="s">
        <v>1968</v>
      </c>
      <c r="J172" s="130" t="s">
        <v>2081</v>
      </c>
    </row>
    <row r="173" spans="1:10" ht="37.5" customHeight="1" x14ac:dyDescent="0.2">
      <c r="A173" s="128" t="s">
        <v>2270</v>
      </c>
      <c r="B173" s="132" t="s">
        <v>2268</v>
      </c>
      <c r="C173" s="130" t="s">
        <v>595</v>
      </c>
      <c r="D173" s="139" t="s">
        <v>2271</v>
      </c>
      <c r="E173" s="131">
        <v>3</v>
      </c>
      <c r="F173" s="130" t="s">
        <v>2081</v>
      </c>
      <c r="G173" s="132" t="s">
        <v>2082</v>
      </c>
      <c r="H173" s="140" t="s">
        <v>2093</v>
      </c>
      <c r="I173" s="129" t="s">
        <v>1968</v>
      </c>
      <c r="J173" s="130" t="s">
        <v>2081</v>
      </c>
    </row>
    <row r="174" spans="1:10" ht="37.5" customHeight="1" x14ac:dyDescent="0.2">
      <c r="A174" s="128" t="s">
        <v>2272</v>
      </c>
      <c r="B174" s="132" t="s">
        <v>2268</v>
      </c>
      <c r="C174" s="130" t="s">
        <v>595</v>
      </c>
      <c r="D174" s="139" t="s">
        <v>2273</v>
      </c>
      <c r="E174" s="131">
        <v>3</v>
      </c>
      <c r="F174" s="130" t="s">
        <v>2081</v>
      </c>
      <c r="G174" s="132" t="s">
        <v>2082</v>
      </c>
      <c r="H174" s="140" t="s">
        <v>2093</v>
      </c>
      <c r="I174" s="129" t="s">
        <v>1968</v>
      </c>
      <c r="J174" s="130" t="s">
        <v>2081</v>
      </c>
    </row>
    <row r="175" spans="1:10" ht="37.5" customHeight="1" x14ac:dyDescent="0.2">
      <c r="A175" s="128" t="s">
        <v>2274</v>
      </c>
      <c r="B175" s="132" t="s">
        <v>2268</v>
      </c>
      <c r="C175" s="130" t="s">
        <v>595</v>
      </c>
      <c r="D175" s="139" t="s">
        <v>2275</v>
      </c>
      <c r="E175" s="131">
        <v>3</v>
      </c>
      <c r="F175" s="130" t="s">
        <v>2081</v>
      </c>
      <c r="G175" s="132" t="s">
        <v>2082</v>
      </c>
      <c r="H175" s="140" t="s">
        <v>2090</v>
      </c>
      <c r="I175" s="129" t="s">
        <v>1968</v>
      </c>
      <c r="J175" s="130" t="s">
        <v>2081</v>
      </c>
    </row>
    <row r="176" spans="1:10" ht="37.5" customHeight="1" x14ac:dyDescent="0.2">
      <c r="A176" s="128" t="s">
        <v>2276</v>
      </c>
      <c r="B176" s="132" t="s">
        <v>2268</v>
      </c>
      <c r="C176" s="130" t="s">
        <v>595</v>
      </c>
      <c r="D176" s="139" t="s">
        <v>2277</v>
      </c>
      <c r="E176" s="131">
        <v>3</v>
      </c>
      <c r="F176" s="130" t="s">
        <v>2081</v>
      </c>
      <c r="G176" s="132" t="s">
        <v>2082</v>
      </c>
      <c r="H176" s="140" t="s">
        <v>2093</v>
      </c>
      <c r="I176" s="129" t="s">
        <v>1968</v>
      </c>
      <c r="J176" s="130" t="s">
        <v>2081</v>
      </c>
    </row>
    <row r="177" spans="1:10" ht="37.5" customHeight="1" x14ac:dyDescent="0.2">
      <c r="A177" s="128" t="s">
        <v>2278</v>
      </c>
      <c r="B177" s="132" t="s">
        <v>2268</v>
      </c>
      <c r="C177" s="130" t="s">
        <v>595</v>
      </c>
      <c r="D177" s="139" t="s">
        <v>2279</v>
      </c>
      <c r="E177" s="131">
        <v>5</v>
      </c>
      <c r="F177" s="130" t="s">
        <v>2081</v>
      </c>
      <c r="G177" s="132" t="s">
        <v>2082</v>
      </c>
      <c r="H177" s="140" t="s">
        <v>2093</v>
      </c>
      <c r="I177" s="129" t="s">
        <v>1968</v>
      </c>
      <c r="J177" s="130" t="s">
        <v>2081</v>
      </c>
    </row>
    <row r="178" spans="1:10" ht="37.5" customHeight="1" x14ac:dyDescent="0.2">
      <c r="A178" s="128" t="s">
        <v>2280</v>
      </c>
      <c r="B178" s="132" t="s">
        <v>2268</v>
      </c>
      <c r="C178" s="130" t="s">
        <v>595</v>
      </c>
      <c r="D178" s="139" t="s">
        <v>2281</v>
      </c>
      <c r="E178" s="131">
        <v>3</v>
      </c>
      <c r="F178" s="130" t="s">
        <v>2081</v>
      </c>
      <c r="G178" s="132" t="s">
        <v>2082</v>
      </c>
      <c r="H178" s="140" t="s">
        <v>2087</v>
      </c>
      <c r="I178" s="129" t="s">
        <v>1968</v>
      </c>
      <c r="J178" s="130" t="s">
        <v>2081</v>
      </c>
    </row>
    <row r="179" spans="1:10" ht="37.5" customHeight="1" x14ac:dyDescent="0.2">
      <c r="A179" s="128" t="s">
        <v>2282</v>
      </c>
      <c r="B179" s="132" t="s">
        <v>2268</v>
      </c>
      <c r="C179" s="130" t="s">
        <v>595</v>
      </c>
      <c r="D179" s="139" t="s">
        <v>2283</v>
      </c>
      <c r="E179" s="131">
        <v>3</v>
      </c>
      <c r="F179" s="130" t="s">
        <v>2081</v>
      </c>
      <c r="G179" s="132" t="s">
        <v>2082</v>
      </c>
      <c r="H179" s="140" t="s">
        <v>2093</v>
      </c>
      <c r="I179" s="129" t="s">
        <v>1968</v>
      </c>
      <c r="J179" s="130" t="s">
        <v>2081</v>
      </c>
    </row>
    <row r="180" spans="1:10" ht="37.5" customHeight="1" x14ac:dyDescent="0.2">
      <c r="A180" s="128" t="s">
        <v>2284</v>
      </c>
      <c r="B180" s="132" t="s">
        <v>2268</v>
      </c>
      <c r="C180" s="130" t="s">
        <v>595</v>
      </c>
      <c r="D180" s="139" t="s">
        <v>2285</v>
      </c>
      <c r="E180" s="131">
        <v>3</v>
      </c>
      <c r="F180" s="130" t="s">
        <v>2081</v>
      </c>
      <c r="G180" s="132" t="s">
        <v>2082</v>
      </c>
      <c r="H180" s="140" t="s">
        <v>2093</v>
      </c>
      <c r="I180" s="129" t="s">
        <v>1968</v>
      </c>
      <c r="J180" s="130" t="s">
        <v>2081</v>
      </c>
    </row>
    <row r="181" spans="1:10" ht="37.5" customHeight="1" x14ac:dyDescent="0.2">
      <c r="A181" s="128" t="s">
        <v>2286</v>
      </c>
      <c r="B181" s="132" t="s">
        <v>2268</v>
      </c>
      <c r="C181" s="130" t="s">
        <v>595</v>
      </c>
      <c r="D181" s="139" t="s">
        <v>2281</v>
      </c>
      <c r="E181" s="131">
        <v>3</v>
      </c>
      <c r="F181" s="130" t="s">
        <v>2081</v>
      </c>
      <c r="G181" s="132" t="s">
        <v>2082</v>
      </c>
      <c r="H181" s="140" t="s">
        <v>2087</v>
      </c>
      <c r="I181" s="129" t="s">
        <v>1968</v>
      </c>
      <c r="J181" s="130" t="s">
        <v>2081</v>
      </c>
    </row>
    <row r="182" spans="1:10" ht="37.5" customHeight="1" x14ac:dyDescent="0.2">
      <c r="A182" s="128" t="s">
        <v>2287</v>
      </c>
      <c r="B182" s="132" t="s">
        <v>2268</v>
      </c>
      <c r="C182" s="130" t="s">
        <v>595</v>
      </c>
      <c r="D182" s="139" t="s">
        <v>2288</v>
      </c>
      <c r="E182" s="131">
        <v>2</v>
      </c>
      <c r="F182" s="130" t="s">
        <v>2081</v>
      </c>
      <c r="G182" s="132" t="s">
        <v>2082</v>
      </c>
      <c r="H182" s="140" t="s">
        <v>2090</v>
      </c>
      <c r="I182" s="129" t="s">
        <v>1968</v>
      </c>
      <c r="J182" s="130" t="s">
        <v>2081</v>
      </c>
    </row>
    <row r="183" spans="1:10" ht="37.5" customHeight="1" x14ac:dyDescent="0.2">
      <c r="A183" s="128" t="s">
        <v>2289</v>
      </c>
      <c r="B183" s="132" t="s">
        <v>2268</v>
      </c>
      <c r="C183" s="130" t="s">
        <v>595</v>
      </c>
      <c r="D183" s="139" t="s">
        <v>2290</v>
      </c>
      <c r="E183" s="131">
        <v>3</v>
      </c>
      <c r="F183" s="130" t="s">
        <v>2081</v>
      </c>
      <c r="G183" s="132" t="s">
        <v>2082</v>
      </c>
      <c r="H183" s="140" t="s">
        <v>2119</v>
      </c>
      <c r="I183" s="129" t="s">
        <v>1968</v>
      </c>
      <c r="J183" s="130" t="s">
        <v>2081</v>
      </c>
    </row>
    <row r="184" spans="1:10" ht="37.5" customHeight="1" x14ac:dyDescent="0.2">
      <c r="A184" s="128" t="s">
        <v>2291</v>
      </c>
      <c r="B184" s="132" t="s">
        <v>2268</v>
      </c>
      <c r="C184" s="130" t="s">
        <v>595</v>
      </c>
      <c r="D184" s="139" t="s">
        <v>2292</v>
      </c>
      <c r="E184" s="131">
        <v>3</v>
      </c>
      <c r="F184" s="130" t="s">
        <v>2081</v>
      </c>
      <c r="G184" s="132" t="s">
        <v>2082</v>
      </c>
      <c r="H184" s="140" t="s">
        <v>2090</v>
      </c>
      <c r="I184" s="129" t="s">
        <v>1968</v>
      </c>
      <c r="J184" s="130" t="s">
        <v>2081</v>
      </c>
    </row>
    <row r="185" spans="1:10" ht="37.5" customHeight="1" x14ac:dyDescent="0.2">
      <c r="A185" s="128" t="s">
        <v>2293</v>
      </c>
      <c r="B185" s="132" t="s">
        <v>2268</v>
      </c>
      <c r="C185" s="130" t="s">
        <v>595</v>
      </c>
      <c r="D185" s="139" t="s">
        <v>2294</v>
      </c>
      <c r="E185" s="131">
        <v>3</v>
      </c>
      <c r="F185" s="130" t="s">
        <v>2081</v>
      </c>
      <c r="G185" s="132" t="s">
        <v>2082</v>
      </c>
      <c r="H185" s="140" t="s">
        <v>2090</v>
      </c>
      <c r="I185" s="129" t="s">
        <v>1968</v>
      </c>
      <c r="J185" s="130" t="s">
        <v>2081</v>
      </c>
    </row>
    <row r="186" spans="1:10" ht="37.5" customHeight="1" x14ac:dyDescent="0.2">
      <c r="A186" s="128" t="s">
        <v>2295</v>
      </c>
      <c r="B186" s="132" t="s">
        <v>2268</v>
      </c>
      <c r="C186" s="130" t="s">
        <v>595</v>
      </c>
      <c r="D186" s="139" t="s">
        <v>2296</v>
      </c>
      <c r="E186" s="131">
        <v>5</v>
      </c>
      <c r="F186" s="130" t="s">
        <v>2081</v>
      </c>
      <c r="G186" s="132" t="s">
        <v>2082</v>
      </c>
      <c r="H186" s="140" t="s">
        <v>2168</v>
      </c>
      <c r="I186" s="129" t="s">
        <v>1968</v>
      </c>
      <c r="J186" s="130" t="s">
        <v>2081</v>
      </c>
    </row>
    <row r="187" spans="1:10" ht="37.5" customHeight="1" x14ac:dyDescent="0.2">
      <c r="A187" s="128" t="s">
        <v>2297</v>
      </c>
      <c r="B187" s="132" t="s">
        <v>2268</v>
      </c>
      <c r="C187" s="130" t="s">
        <v>595</v>
      </c>
      <c r="D187" s="139" t="s">
        <v>2296</v>
      </c>
      <c r="E187" s="131">
        <v>5</v>
      </c>
      <c r="F187" s="130" t="s">
        <v>2081</v>
      </c>
      <c r="G187" s="132" t="s">
        <v>2082</v>
      </c>
      <c r="H187" s="140" t="s">
        <v>2090</v>
      </c>
      <c r="I187" s="129" t="s">
        <v>1968</v>
      </c>
      <c r="J187" s="130" t="s">
        <v>2081</v>
      </c>
    </row>
    <row r="188" spans="1:10" ht="37.5" customHeight="1" x14ac:dyDescent="0.2">
      <c r="A188" s="128" t="s">
        <v>2298</v>
      </c>
      <c r="B188" s="132" t="s">
        <v>2268</v>
      </c>
      <c r="C188" s="130" t="s">
        <v>595</v>
      </c>
      <c r="D188" s="139" t="s">
        <v>2288</v>
      </c>
      <c r="E188" s="131">
        <v>3</v>
      </c>
      <c r="F188" s="130" t="s">
        <v>2081</v>
      </c>
      <c r="G188" s="132" t="s">
        <v>2082</v>
      </c>
      <c r="H188" s="140" t="s">
        <v>2093</v>
      </c>
      <c r="I188" s="129" t="s">
        <v>1968</v>
      </c>
      <c r="J188" s="130" t="s">
        <v>2081</v>
      </c>
    </row>
    <row r="189" spans="1:10" ht="37.5" customHeight="1" x14ac:dyDescent="0.2">
      <c r="A189" s="128" t="s">
        <v>2299</v>
      </c>
      <c r="B189" s="132" t="s">
        <v>2268</v>
      </c>
      <c r="C189" s="130" t="s">
        <v>595</v>
      </c>
      <c r="D189" s="139" t="s">
        <v>2300</v>
      </c>
      <c r="E189" s="131">
        <v>3</v>
      </c>
      <c r="F189" s="130" t="s">
        <v>2081</v>
      </c>
      <c r="G189" s="132" t="s">
        <v>2082</v>
      </c>
      <c r="H189" s="140" t="s">
        <v>2083</v>
      </c>
      <c r="I189" s="129" t="s">
        <v>1968</v>
      </c>
      <c r="J189" s="130" t="s">
        <v>2081</v>
      </c>
    </row>
    <row r="190" spans="1:10" ht="37.5" customHeight="1" x14ac:dyDescent="0.2">
      <c r="A190" s="128" t="s">
        <v>2301</v>
      </c>
      <c r="B190" s="132" t="s">
        <v>2268</v>
      </c>
      <c r="C190" s="130" t="s">
        <v>595</v>
      </c>
      <c r="D190" s="139" t="s">
        <v>2174</v>
      </c>
      <c r="E190" s="131">
        <v>3</v>
      </c>
      <c r="F190" s="130" t="s">
        <v>2081</v>
      </c>
      <c r="G190" s="132" t="s">
        <v>2082</v>
      </c>
      <c r="H190" s="140" t="s">
        <v>2090</v>
      </c>
      <c r="I190" s="129" t="s">
        <v>1968</v>
      </c>
      <c r="J190" s="130" t="s">
        <v>2081</v>
      </c>
    </row>
    <row r="191" spans="1:10" ht="37.5" customHeight="1" x14ac:dyDescent="0.2">
      <c r="A191" s="128" t="s">
        <v>2302</v>
      </c>
      <c r="B191" s="132" t="s">
        <v>2268</v>
      </c>
      <c r="C191" s="130" t="s">
        <v>595</v>
      </c>
      <c r="D191" s="139" t="s">
        <v>2303</v>
      </c>
      <c r="E191" s="131">
        <v>3</v>
      </c>
      <c r="F191" s="130" t="s">
        <v>2081</v>
      </c>
      <c r="G191" s="132" t="s">
        <v>2082</v>
      </c>
      <c r="H191" s="140" t="s">
        <v>2093</v>
      </c>
      <c r="I191" s="129" t="s">
        <v>1968</v>
      </c>
      <c r="J191" s="130" t="s">
        <v>2081</v>
      </c>
    </row>
    <row r="192" spans="1:10" ht="37.5" customHeight="1" x14ac:dyDescent="0.2">
      <c r="A192" s="128" t="s">
        <v>2304</v>
      </c>
      <c r="B192" s="132" t="s">
        <v>2268</v>
      </c>
      <c r="C192" s="130" t="s">
        <v>595</v>
      </c>
      <c r="D192" s="139" t="s">
        <v>2305</v>
      </c>
      <c r="E192" s="131">
        <v>5</v>
      </c>
      <c r="F192" s="130" t="s">
        <v>2081</v>
      </c>
      <c r="G192" s="132" t="s">
        <v>2082</v>
      </c>
      <c r="H192" s="140" t="s">
        <v>2093</v>
      </c>
      <c r="I192" s="129" t="s">
        <v>1968</v>
      </c>
      <c r="J192" s="130" t="s">
        <v>2081</v>
      </c>
    </row>
    <row r="193" spans="1:10" ht="37.5" customHeight="1" x14ac:dyDescent="0.2">
      <c r="A193" s="128" t="s">
        <v>2306</v>
      </c>
      <c r="B193" s="132" t="s">
        <v>2268</v>
      </c>
      <c r="C193" s="130" t="s">
        <v>595</v>
      </c>
      <c r="D193" s="139" t="s">
        <v>2303</v>
      </c>
      <c r="E193" s="131">
        <v>3</v>
      </c>
      <c r="F193" s="130" t="s">
        <v>2081</v>
      </c>
      <c r="G193" s="132" t="s">
        <v>2082</v>
      </c>
      <c r="H193" s="140" t="s">
        <v>2093</v>
      </c>
      <c r="I193" s="129" t="s">
        <v>1968</v>
      </c>
      <c r="J193" s="130" t="s">
        <v>2081</v>
      </c>
    </row>
    <row r="194" spans="1:10" ht="37.5" customHeight="1" x14ac:dyDescent="0.2">
      <c r="A194" s="133" t="s">
        <v>2307</v>
      </c>
      <c r="B194" s="137" t="s">
        <v>2308</v>
      </c>
      <c r="C194" s="135" t="s">
        <v>592</v>
      </c>
      <c r="D194" s="142" t="s">
        <v>2309</v>
      </c>
      <c r="E194" s="136">
        <v>3</v>
      </c>
      <c r="F194" s="135" t="s">
        <v>2081</v>
      </c>
      <c r="G194" s="137" t="s">
        <v>2082</v>
      </c>
      <c r="H194" s="143" t="s">
        <v>2090</v>
      </c>
      <c r="I194" s="134" t="s">
        <v>1846</v>
      </c>
      <c r="J194" s="135" t="s">
        <v>2081</v>
      </c>
    </row>
    <row r="195" spans="1:10" ht="37.5" customHeight="1" x14ac:dyDescent="0.2">
      <c r="A195" s="133" t="s">
        <v>2310</v>
      </c>
      <c r="B195" s="137" t="s">
        <v>2308</v>
      </c>
      <c r="C195" s="135" t="s">
        <v>592</v>
      </c>
      <c r="D195" s="142" t="s">
        <v>2311</v>
      </c>
      <c r="E195" s="136">
        <v>3</v>
      </c>
      <c r="F195" s="135" t="s">
        <v>2081</v>
      </c>
      <c r="G195" s="137" t="s">
        <v>2082</v>
      </c>
      <c r="H195" s="143" t="s">
        <v>2090</v>
      </c>
      <c r="I195" s="134" t="s">
        <v>1846</v>
      </c>
      <c r="J195" s="135" t="s">
        <v>2081</v>
      </c>
    </row>
    <row r="196" spans="1:10" ht="37.5" customHeight="1" x14ac:dyDescent="0.2">
      <c r="A196" s="133" t="s">
        <v>2312</v>
      </c>
      <c r="B196" s="137" t="s">
        <v>2308</v>
      </c>
      <c r="C196" s="135" t="s">
        <v>592</v>
      </c>
      <c r="D196" s="142" t="s">
        <v>2313</v>
      </c>
      <c r="E196" s="136">
        <v>5</v>
      </c>
      <c r="F196" s="135" t="s">
        <v>2081</v>
      </c>
      <c r="G196" s="137" t="s">
        <v>2082</v>
      </c>
      <c r="H196" s="143" t="s">
        <v>2119</v>
      </c>
      <c r="I196" s="134" t="s">
        <v>1846</v>
      </c>
      <c r="J196" s="135" t="s">
        <v>2081</v>
      </c>
    </row>
    <row r="197" spans="1:10" ht="37.5" customHeight="1" x14ac:dyDescent="0.2">
      <c r="A197" s="133" t="s">
        <v>2314</v>
      </c>
      <c r="B197" s="137" t="s">
        <v>2308</v>
      </c>
      <c r="C197" s="135" t="s">
        <v>592</v>
      </c>
      <c r="D197" s="142" t="s">
        <v>2315</v>
      </c>
      <c r="E197" s="136">
        <v>5</v>
      </c>
      <c r="F197" s="135" t="s">
        <v>2081</v>
      </c>
      <c r="G197" s="137" t="s">
        <v>2082</v>
      </c>
      <c r="H197" s="143" t="s">
        <v>2090</v>
      </c>
      <c r="I197" s="134" t="s">
        <v>1846</v>
      </c>
      <c r="J197" s="135" t="s">
        <v>2081</v>
      </c>
    </row>
    <row r="198" spans="1:10" ht="37.5" customHeight="1" x14ac:dyDescent="0.2">
      <c r="A198" s="133" t="s">
        <v>2316</v>
      </c>
      <c r="B198" s="137" t="s">
        <v>2308</v>
      </c>
      <c r="C198" s="135" t="s">
        <v>592</v>
      </c>
      <c r="D198" s="142" t="s">
        <v>2317</v>
      </c>
      <c r="E198" s="136">
        <v>3</v>
      </c>
      <c r="F198" s="135" t="s">
        <v>2081</v>
      </c>
      <c r="G198" s="137" t="s">
        <v>2082</v>
      </c>
      <c r="H198" s="143" t="s">
        <v>2090</v>
      </c>
      <c r="I198" s="134" t="s">
        <v>1846</v>
      </c>
      <c r="J198" s="135" t="s">
        <v>2081</v>
      </c>
    </row>
    <row r="199" spans="1:10" ht="37.5" customHeight="1" x14ac:dyDescent="0.2">
      <c r="A199" s="133" t="s">
        <v>2318</v>
      </c>
      <c r="B199" s="137" t="s">
        <v>2308</v>
      </c>
      <c r="C199" s="135" t="s">
        <v>592</v>
      </c>
      <c r="D199" s="142" t="s">
        <v>2319</v>
      </c>
      <c r="E199" s="136">
        <v>3</v>
      </c>
      <c r="F199" s="135" t="s">
        <v>2081</v>
      </c>
      <c r="G199" s="137" t="s">
        <v>2082</v>
      </c>
      <c r="H199" s="143" t="s">
        <v>2090</v>
      </c>
      <c r="I199" s="134" t="s">
        <v>1846</v>
      </c>
      <c r="J199" s="135" t="s">
        <v>2081</v>
      </c>
    </row>
    <row r="200" spans="1:10" ht="37.5" customHeight="1" x14ac:dyDescent="0.2">
      <c r="A200" s="133" t="s">
        <v>2320</v>
      </c>
      <c r="B200" s="137" t="s">
        <v>2308</v>
      </c>
      <c r="C200" s="135" t="s">
        <v>592</v>
      </c>
      <c r="D200" s="142" t="s">
        <v>2321</v>
      </c>
      <c r="E200" s="136">
        <v>3</v>
      </c>
      <c r="F200" s="135" t="s">
        <v>2081</v>
      </c>
      <c r="G200" s="137" t="s">
        <v>2082</v>
      </c>
      <c r="H200" s="143" t="s">
        <v>2090</v>
      </c>
      <c r="I200" s="134" t="s">
        <v>1846</v>
      </c>
      <c r="J200" s="135" t="s">
        <v>2081</v>
      </c>
    </row>
    <row r="201" spans="1:10" ht="37.5" customHeight="1" x14ac:dyDescent="0.2">
      <c r="A201" s="133" t="s">
        <v>2322</v>
      </c>
      <c r="B201" s="137" t="s">
        <v>2308</v>
      </c>
      <c r="C201" s="135" t="s">
        <v>592</v>
      </c>
      <c r="D201" s="142" t="s">
        <v>2323</v>
      </c>
      <c r="E201" s="136">
        <v>3</v>
      </c>
      <c r="F201" s="135" t="s">
        <v>2081</v>
      </c>
      <c r="G201" s="137" t="s">
        <v>2082</v>
      </c>
      <c r="H201" s="143" t="s">
        <v>2083</v>
      </c>
      <c r="I201" s="134" t="s">
        <v>1846</v>
      </c>
      <c r="J201" s="135" t="s">
        <v>2081</v>
      </c>
    </row>
    <row r="202" spans="1:10" ht="37.5" customHeight="1" x14ac:dyDescent="0.2">
      <c r="A202" s="133" t="s">
        <v>2324</v>
      </c>
      <c r="B202" s="137" t="s">
        <v>2308</v>
      </c>
      <c r="C202" s="135" t="s">
        <v>592</v>
      </c>
      <c r="D202" s="142" t="s">
        <v>2117</v>
      </c>
      <c r="E202" s="136">
        <v>3</v>
      </c>
      <c r="F202" s="135" t="s">
        <v>2081</v>
      </c>
      <c r="G202" s="137" t="s">
        <v>2082</v>
      </c>
      <c r="H202" s="143" t="s">
        <v>2119</v>
      </c>
      <c r="I202" s="134" t="s">
        <v>1846</v>
      </c>
      <c r="J202" s="135" t="s">
        <v>2081</v>
      </c>
    </row>
    <row r="203" spans="1:10" ht="37.5" customHeight="1" x14ac:dyDescent="0.2">
      <c r="A203" s="133" t="s">
        <v>2325</v>
      </c>
      <c r="B203" s="137" t="s">
        <v>2308</v>
      </c>
      <c r="C203" s="135" t="s">
        <v>592</v>
      </c>
      <c r="D203" s="142" t="s">
        <v>2326</v>
      </c>
      <c r="E203" s="136">
        <v>5</v>
      </c>
      <c r="F203" s="135" t="s">
        <v>2081</v>
      </c>
      <c r="G203" s="137" t="s">
        <v>2082</v>
      </c>
      <c r="H203" s="143" t="s">
        <v>2208</v>
      </c>
      <c r="I203" s="134" t="s">
        <v>1846</v>
      </c>
      <c r="J203" s="135" t="s">
        <v>2081</v>
      </c>
    </row>
    <row r="204" spans="1:10" ht="37.5" customHeight="1" x14ac:dyDescent="0.2">
      <c r="A204" s="133" t="s">
        <v>2327</v>
      </c>
      <c r="B204" s="137" t="s">
        <v>2308</v>
      </c>
      <c r="C204" s="135" t="s">
        <v>592</v>
      </c>
      <c r="D204" s="142" t="s">
        <v>2317</v>
      </c>
      <c r="E204" s="136">
        <v>5</v>
      </c>
      <c r="F204" s="135" t="s">
        <v>2081</v>
      </c>
      <c r="G204" s="137" t="s">
        <v>2082</v>
      </c>
      <c r="H204" s="143" t="s">
        <v>2124</v>
      </c>
      <c r="I204" s="134" t="s">
        <v>1846</v>
      </c>
      <c r="J204" s="135" t="s">
        <v>2081</v>
      </c>
    </row>
    <row r="205" spans="1:10" ht="37.5" customHeight="1" x14ac:dyDescent="0.2">
      <c r="A205" s="133" t="s">
        <v>2328</v>
      </c>
      <c r="B205" s="137" t="s">
        <v>2308</v>
      </c>
      <c r="C205" s="135" t="s">
        <v>592</v>
      </c>
      <c r="D205" s="142" t="s">
        <v>2309</v>
      </c>
      <c r="E205" s="136">
        <v>3</v>
      </c>
      <c r="F205" s="135" t="s">
        <v>2081</v>
      </c>
      <c r="G205" s="137" t="s">
        <v>2082</v>
      </c>
      <c r="H205" s="143" t="s">
        <v>2087</v>
      </c>
      <c r="I205" s="134" t="s">
        <v>1846</v>
      </c>
      <c r="J205" s="135" t="s">
        <v>2081</v>
      </c>
    </row>
    <row r="206" spans="1:10" ht="37.5" customHeight="1" x14ac:dyDescent="0.2">
      <c r="A206" s="133" t="s">
        <v>2329</v>
      </c>
      <c r="B206" s="137" t="s">
        <v>2308</v>
      </c>
      <c r="C206" s="135" t="s">
        <v>592</v>
      </c>
      <c r="D206" s="142" t="s">
        <v>2309</v>
      </c>
      <c r="E206" s="136">
        <v>3</v>
      </c>
      <c r="F206" s="135" t="s">
        <v>2081</v>
      </c>
      <c r="G206" s="137" t="s">
        <v>2082</v>
      </c>
      <c r="H206" s="143" t="s">
        <v>2090</v>
      </c>
      <c r="I206" s="134" t="s">
        <v>1846</v>
      </c>
      <c r="J206" s="135" t="s">
        <v>2081</v>
      </c>
    </row>
    <row r="207" spans="1:10" ht="37.5" customHeight="1" x14ac:dyDescent="0.2">
      <c r="A207" s="128" t="s">
        <v>2330</v>
      </c>
      <c r="B207" s="132" t="s">
        <v>2331</v>
      </c>
      <c r="C207" s="130" t="s">
        <v>611</v>
      </c>
      <c r="D207" s="139" t="s">
        <v>2332</v>
      </c>
      <c r="E207" s="131">
        <v>3</v>
      </c>
      <c r="F207" s="130" t="s">
        <v>2081</v>
      </c>
      <c r="G207" s="132" t="s">
        <v>2082</v>
      </c>
      <c r="H207" s="140" t="s">
        <v>2333</v>
      </c>
      <c r="I207" s="129" t="s">
        <v>2227</v>
      </c>
      <c r="J207" s="130" t="s">
        <v>2081</v>
      </c>
    </row>
    <row r="208" spans="1:10" ht="37.5" customHeight="1" x14ac:dyDescent="0.2">
      <c r="A208" s="128" t="s">
        <v>2334</v>
      </c>
      <c r="B208" s="132" t="s">
        <v>2331</v>
      </c>
      <c r="C208" s="130" t="s">
        <v>611</v>
      </c>
      <c r="D208" s="139" t="s">
        <v>2335</v>
      </c>
      <c r="E208" s="131">
        <v>3</v>
      </c>
      <c r="F208" s="130" t="s">
        <v>2081</v>
      </c>
      <c r="G208" s="132" t="s">
        <v>2082</v>
      </c>
      <c r="H208" s="140" t="s">
        <v>2333</v>
      </c>
      <c r="I208" s="129" t="s">
        <v>2227</v>
      </c>
      <c r="J208" s="130" t="s">
        <v>2081</v>
      </c>
    </row>
    <row r="209" spans="1:10" ht="37.5" customHeight="1" x14ac:dyDescent="0.2">
      <c r="A209" s="128" t="s">
        <v>2336</v>
      </c>
      <c r="B209" s="132" t="s">
        <v>2331</v>
      </c>
      <c r="C209" s="130" t="s">
        <v>611</v>
      </c>
      <c r="D209" s="139" t="s">
        <v>2337</v>
      </c>
      <c r="E209" s="131">
        <v>3</v>
      </c>
      <c r="F209" s="130" t="s">
        <v>2081</v>
      </c>
      <c r="G209" s="132" t="s">
        <v>2082</v>
      </c>
      <c r="H209" s="140" t="s">
        <v>2090</v>
      </c>
      <c r="I209" s="129" t="s">
        <v>2227</v>
      </c>
      <c r="J209" s="130" t="s">
        <v>2081</v>
      </c>
    </row>
    <row r="210" spans="1:10" ht="37.5" customHeight="1" x14ac:dyDescent="0.2">
      <c r="A210" s="133" t="s">
        <v>2338</v>
      </c>
      <c r="B210" s="137" t="s">
        <v>2339</v>
      </c>
      <c r="C210" s="135" t="s">
        <v>600</v>
      </c>
      <c r="D210" s="142" t="s">
        <v>2340</v>
      </c>
      <c r="E210" s="136">
        <v>3</v>
      </c>
      <c r="F210" s="135" t="s">
        <v>2081</v>
      </c>
      <c r="G210" s="137" t="s">
        <v>2082</v>
      </c>
      <c r="H210" s="143" t="s">
        <v>2090</v>
      </c>
      <c r="I210" s="134" t="s">
        <v>1943</v>
      </c>
      <c r="J210" s="135" t="s">
        <v>2081</v>
      </c>
    </row>
    <row r="211" spans="1:10" ht="37.5" customHeight="1" x14ac:dyDescent="0.2">
      <c r="A211" s="133" t="s">
        <v>2341</v>
      </c>
      <c r="B211" s="137" t="s">
        <v>2339</v>
      </c>
      <c r="C211" s="135" t="s">
        <v>600</v>
      </c>
      <c r="D211" s="142" t="s">
        <v>2342</v>
      </c>
      <c r="E211" s="136">
        <v>3</v>
      </c>
      <c r="F211" s="135" t="s">
        <v>2081</v>
      </c>
      <c r="G211" s="137" t="s">
        <v>2082</v>
      </c>
      <c r="H211" s="143" t="s">
        <v>2090</v>
      </c>
      <c r="I211" s="134" t="s">
        <v>1943</v>
      </c>
      <c r="J211" s="135" t="s">
        <v>2081</v>
      </c>
    </row>
    <row r="212" spans="1:10" ht="37.5" customHeight="1" x14ac:dyDescent="0.2">
      <c r="A212" s="133" t="s">
        <v>2343</v>
      </c>
      <c r="B212" s="137" t="s">
        <v>2339</v>
      </c>
      <c r="C212" s="135" t="s">
        <v>600</v>
      </c>
      <c r="D212" s="142" t="s">
        <v>2344</v>
      </c>
      <c r="E212" s="136">
        <v>3</v>
      </c>
      <c r="F212" s="135" t="s">
        <v>2081</v>
      </c>
      <c r="G212" s="137" t="s">
        <v>2082</v>
      </c>
      <c r="H212" s="143" t="s">
        <v>2119</v>
      </c>
      <c r="I212" s="134" t="s">
        <v>1943</v>
      </c>
      <c r="J212" s="135" t="s">
        <v>2081</v>
      </c>
    </row>
    <row r="213" spans="1:10" ht="37.5" customHeight="1" x14ac:dyDescent="0.2">
      <c r="A213" s="133" t="s">
        <v>2345</v>
      </c>
      <c r="B213" s="137" t="s">
        <v>2339</v>
      </c>
      <c r="C213" s="135" t="s">
        <v>600</v>
      </c>
      <c r="D213" s="142" t="s">
        <v>2346</v>
      </c>
      <c r="E213" s="136">
        <v>3</v>
      </c>
      <c r="F213" s="135" t="s">
        <v>2081</v>
      </c>
      <c r="G213" s="137" t="s">
        <v>2082</v>
      </c>
      <c r="H213" s="143" t="s">
        <v>2090</v>
      </c>
      <c r="I213" s="134" t="s">
        <v>1943</v>
      </c>
      <c r="J213" s="135" t="s">
        <v>2081</v>
      </c>
    </row>
    <row r="214" spans="1:10" ht="37.5" customHeight="1" x14ac:dyDescent="0.2">
      <c r="A214" s="133" t="s">
        <v>2347</v>
      </c>
      <c r="B214" s="137" t="s">
        <v>2339</v>
      </c>
      <c r="C214" s="135" t="s">
        <v>600</v>
      </c>
      <c r="D214" s="142" t="s">
        <v>2348</v>
      </c>
      <c r="E214" s="136">
        <v>2</v>
      </c>
      <c r="F214" s="135" t="s">
        <v>2081</v>
      </c>
      <c r="G214" s="137" t="s">
        <v>2082</v>
      </c>
      <c r="H214" s="143" t="s">
        <v>2090</v>
      </c>
      <c r="I214" s="134" t="s">
        <v>1943</v>
      </c>
      <c r="J214" s="135" t="s">
        <v>2081</v>
      </c>
    </row>
    <row r="215" spans="1:10" ht="37.5" customHeight="1" x14ac:dyDescent="0.2">
      <c r="A215" s="133" t="s">
        <v>2349</v>
      </c>
      <c r="B215" s="137" t="s">
        <v>2339</v>
      </c>
      <c r="C215" s="135" t="s">
        <v>600</v>
      </c>
      <c r="D215" s="142" t="s">
        <v>2350</v>
      </c>
      <c r="E215" s="136">
        <v>3</v>
      </c>
      <c r="F215" s="135" t="s">
        <v>2081</v>
      </c>
      <c r="G215" s="137" t="s">
        <v>2082</v>
      </c>
      <c r="H215" s="143" t="s">
        <v>2119</v>
      </c>
      <c r="I215" s="134" t="s">
        <v>1943</v>
      </c>
      <c r="J215" s="135" t="s">
        <v>2081</v>
      </c>
    </row>
    <row r="216" spans="1:10" ht="37.5" customHeight="1" x14ac:dyDescent="0.2">
      <c r="A216" s="133" t="s">
        <v>2351</v>
      </c>
      <c r="B216" s="137" t="s">
        <v>2339</v>
      </c>
      <c r="C216" s="135" t="s">
        <v>600</v>
      </c>
      <c r="D216" s="142" t="s">
        <v>2352</v>
      </c>
      <c r="E216" s="136">
        <v>3</v>
      </c>
      <c r="F216" s="135" t="s">
        <v>2081</v>
      </c>
      <c r="G216" s="137" t="s">
        <v>2082</v>
      </c>
      <c r="H216" s="143" t="s">
        <v>2148</v>
      </c>
      <c r="I216" s="134" t="s">
        <v>1943</v>
      </c>
      <c r="J216" s="135" t="s">
        <v>2081</v>
      </c>
    </row>
    <row r="217" spans="1:10" ht="37.5" customHeight="1" x14ac:dyDescent="0.2">
      <c r="A217" s="133" t="s">
        <v>2353</v>
      </c>
      <c r="B217" s="137" t="s">
        <v>2339</v>
      </c>
      <c r="C217" s="135" t="s">
        <v>600</v>
      </c>
      <c r="D217" s="142" t="s">
        <v>2354</v>
      </c>
      <c r="E217" s="136">
        <v>5</v>
      </c>
      <c r="F217" s="135" t="s">
        <v>2081</v>
      </c>
      <c r="G217" s="137" t="s">
        <v>2082</v>
      </c>
      <c r="H217" s="143" t="s">
        <v>2090</v>
      </c>
      <c r="I217" s="134" t="s">
        <v>1943</v>
      </c>
      <c r="J217" s="135" t="s">
        <v>2081</v>
      </c>
    </row>
    <row r="218" spans="1:10" ht="37.5" customHeight="1" x14ac:dyDescent="0.2">
      <c r="A218" s="133" t="s">
        <v>2355</v>
      </c>
      <c r="B218" s="137" t="s">
        <v>2339</v>
      </c>
      <c r="C218" s="135" t="s">
        <v>600</v>
      </c>
      <c r="D218" s="142" t="s">
        <v>2356</v>
      </c>
      <c r="E218" s="136">
        <v>3</v>
      </c>
      <c r="F218" s="135" t="s">
        <v>2081</v>
      </c>
      <c r="G218" s="137" t="s">
        <v>2082</v>
      </c>
      <c r="H218" s="143" t="s">
        <v>2090</v>
      </c>
      <c r="I218" s="134" t="s">
        <v>1943</v>
      </c>
      <c r="J218" s="135" t="s">
        <v>2081</v>
      </c>
    </row>
    <row r="219" spans="1:10" ht="37.5" customHeight="1" x14ac:dyDescent="0.2">
      <c r="A219" s="133" t="s">
        <v>2357</v>
      </c>
      <c r="B219" s="137" t="s">
        <v>2339</v>
      </c>
      <c r="C219" s="135" t="s">
        <v>600</v>
      </c>
      <c r="D219" s="142" t="s">
        <v>2358</v>
      </c>
      <c r="E219" s="136">
        <v>3</v>
      </c>
      <c r="F219" s="135" t="s">
        <v>2081</v>
      </c>
      <c r="G219" s="137" t="s">
        <v>2082</v>
      </c>
      <c r="H219" s="143" t="s">
        <v>2090</v>
      </c>
      <c r="I219" s="134" t="s">
        <v>1943</v>
      </c>
      <c r="J219" s="135" t="s">
        <v>2081</v>
      </c>
    </row>
    <row r="220" spans="1:10" ht="37.5" customHeight="1" x14ac:dyDescent="0.2">
      <c r="A220" s="133" t="s">
        <v>2359</v>
      </c>
      <c r="B220" s="137" t="s">
        <v>2339</v>
      </c>
      <c r="C220" s="135" t="s">
        <v>600</v>
      </c>
      <c r="D220" s="142" t="s">
        <v>2360</v>
      </c>
      <c r="E220" s="136">
        <v>3</v>
      </c>
      <c r="F220" s="135" t="s">
        <v>2081</v>
      </c>
      <c r="G220" s="137" t="s">
        <v>2082</v>
      </c>
      <c r="H220" s="143" t="s">
        <v>2087</v>
      </c>
      <c r="I220" s="134" t="s">
        <v>1943</v>
      </c>
      <c r="J220" s="135" t="s">
        <v>2081</v>
      </c>
    </row>
    <row r="221" spans="1:10" ht="37.5" customHeight="1" x14ac:dyDescent="0.2">
      <c r="A221" s="133" t="s">
        <v>2361</v>
      </c>
      <c r="B221" s="137" t="s">
        <v>2339</v>
      </c>
      <c r="C221" s="135" t="s">
        <v>600</v>
      </c>
      <c r="D221" s="142" t="s">
        <v>2362</v>
      </c>
      <c r="E221" s="136">
        <v>3</v>
      </c>
      <c r="F221" s="135" t="s">
        <v>2081</v>
      </c>
      <c r="G221" s="137" t="s">
        <v>2082</v>
      </c>
      <c r="H221" s="143" t="s">
        <v>2090</v>
      </c>
      <c r="I221" s="134" t="s">
        <v>1943</v>
      </c>
      <c r="J221" s="135" t="s">
        <v>2081</v>
      </c>
    </row>
    <row r="222" spans="1:10" ht="51.75" customHeight="1" x14ac:dyDescent="0.2">
      <c r="A222" s="133" t="s">
        <v>2363</v>
      </c>
      <c r="B222" s="137" t="s">
        <v>2339</v>
      </c>
      <c r="C222" s="135" t="s">
        <v>600</v>
      </c>
      <c r="D222" s="142" t="s">
        <v>2364</v>
      </c>
      <c r="E222" s="136">
        <v>3</v>
      </c>
      <c r="F222" s="135" t="s">
        <v>2081</v>
      </c>
      <c r="G222" s="137" t="s">
        <v>2082</v>
      </c>
      <c r="H222" s="143" t="s">
        <v>2090</v>
      </c>
      <c r="I222" s="134" t="s">
        <v>1943</v>
      </c>
      <c r="J222" s="135" t="s">
        <v>2081</v>
      </c>
    </row>
    <row r="223" spans="1:10" ht="37.5" customHeight="1" x14ac:dyDescent="0.2">
      <c r="A223" s="133" t="s">
        <v>2365</v>
      </c>
      <c r="B223" s="137" t="s">
        <v>2339</v>
      </c>
      <c r="C223" s="135" t="s">
        <v>600</v>
      </c>
      <c r="D223" s="142" t="s">
        <v>2366</v>
      </c>
      <c r="E223" s="136">
        <v>3</v>
      </c>
      <c r="F223" s="135" t="s">
        <v>2081</v>
      </c>
      <c r="G223" s="137" t="s">
        <v>2082</v>
      </c>
      <c r="H223" s="143" t="s">
        <v>2083</v>
      </c>
      <c r="I223" s="134" t="s">
        <v>1943</v>
      </c>
      <c r="J223" s="135" t="s">
        <v>2081</v>
      </c>
    </row>
    <row r="224" spans="1:10" ht="37.5" customHeight="1" x14ac:dyDescent="0.2">
      <c r="A224" s="133" t="s">
        <v>2367</v>
      </c>
      <c r="B224" s="137" t="s">
        <v>2339</v>
      </c>
      <c r="C224" s="135" t="s">
        <v>600</v>
      </c>
      <c r="D224" s="142" t="s">
        <v>2368</v>
      </c>
      <c r="E224" s="136">
        <v>5</v>
      </c>
      <c r="F224" s="135" t="s">
        <v>2081</v>
      </c>
      <c r="G224" s="137" t="s">
        <v>2082</v>
      </c>
      <c r="H224" s="143" t="s">
        <v>2090</v>
      </c>
      <c r="I224" s="134" t="s">
        <v>1943</v>
      </c>
      <c r="J224" s="135" t="s">
        <v>2081</v>
      </c>
    </row>
    <row r="225" spans="1:10" ht="37.5" customHeight="1" x14ac:dyDescent="0.2">
      <c r="A225" s="133" t="s">
        <v>2369</v>
      </c>
      <c r="B225" s="137" t="s">
        <v>2339</v>
      </c>
      <c r="C225" s="135" t="s">
        <v>600</v>
      </c>
      <c r="D225" s="142" t="s">
        <v>2370</v>
      </c>
      <c r="E225" s="136">
        <v>5</v>
      </c>
      <c r="F225" s="135" t="s">
        <v>2081</v>
      </c>
      <c r="G225" s="137" t="s">
        <v>2082</v>
      </c>
      <c r="H225" s="143" t="s">
        <v>2124</v>
      </c>
      <c r="I225" s="134" t="s">
        <v>1943</v>
      </c>
      <c r="J225" s="135" t="s">
        <v>2081</v>
      </c>
    </row>
    <row r="226" spans="1:10" ht="37.5" customHeight="1" x14ac:dyDescent="0.2">
      <c r="A226" s="133" t="s">
        <v>2371</v>
      </c>
      <c r="B226" s="137" t="s">
        <v>2339</v>
      </c>
      <c r="C226" s="135" t="s">
        <v>600</v>
      </c>
      <c r="D226" s="142" t="s">
        <v>2372</v>
      </c>
      <c r="E226" s="136">
        <v>3</v>
      </c>
      <c r="F226" s="135" t="s">
        <v>2081</v>
      </c>
      <c r="G226" s="137" t="s">
        <v>2082</v>
      </c>
      <c r="H226" s="143" t="s">
        <v>2090</v>
      </c>
      <c r="I226" s="134" t="s">
        <v>1943</v>
      </c>
      <c r="J226" s="135" t="s">
        <v>2081</v>
      </c>
    </row>
    <row r="227" spans="1:10" ht="37.5" customHeight="1" x14ac:dyDescent="0.2">
      <c r="A227" s="133" t="s">
        <v>2373</v>
      </c>
      <c r="B227" s="137" t="s">
        <v>2339</v>
      </c>
      <c r="C227" s="135" t="s">
        <v>600</v>
      </c>
      <c r="D227" s="142" t="s">
        <v>2374</v>
      </c>
      <c r="E227" s="136">
        <v>2</v>
      </c>
      <c r="F227" s="135" t="s">
        <v>2081</v>
      </c>
      <c r="G227" s="137" t="s">
        <v>2082</v>
      </c>
      <c r="H227" s="143" t="s">
        <v>2087</v>
      </c>
      <c r="I227" s="134" t="s">
        <v>1943</v>
      </c>
      <c r="J227" s="135" t="s">
        <v>2081</v>
      </c>
    </row>
    <row r="228" spans="1:10" ht="37.5" customHeight="1" x14ac:dyDescent="0.2">
      <c r="A228" s="133" t="s">
        <v>2375</v>
      </c>
      <c r="B228" s="137" t="s">
        <v>2339</v>
      </c>
      <c r="C228" s="135" t="s">
        <v>600</v>
      </c>
      <c r="D228" s="142" t="s">
        <v>2376</v>
      </c>
      <c r="E228" s="136">
        <v>3</v>
      </c>
      <c r="F228" s="135" t="s">
        <v>2081</v>
      </c>
      <c r="G228" s="137" t="s">
        <v>2082</v>
      </c>
      <c r="H228" s="143" t="s">
        <v>2087</v>
      </c>
      <c r="I228" s="134" t="s">
        <v>1943</v>
      </c>
      <c r="J228" s="135" t="s">
        <v>2081</v>
      </c>
    </row>
    <row r="229" spans="1:10" ht="37.5" customHeight="1" x14ac:dyDescent="0.2">
      <c r="A229" s="133" t="s">
        <v>2377</v>
      </c>
      <c r="B229" s="137" t="s">
        <v>2339</v>
      </c>
      <c r="C229" s="135" t="s">
        <v>600</v>
      </c>
      <c r="D229" s="142" t="s">
        <v>2378</v>
      </c>
      <c r="E229" s="136">
        <v>3</v>
      </c>
      <c r="F229" s="135" t="s">
        <v>2081</v>
      </c>
      <c r="G229" s="137" t="s">
        <v>2082</v>
      </c>
      <c r="H229" s="143" t="s">
        <v>2119</v>
      </c>
      <c r="I229" s="134" t="s">
        <v>1943</v>
      </c>
      <c r="J229" s="135" t="s">
        <v>2081</v>
      </c>
    </row>
    <row r="230" spans="1:10" ht="37.5" customHeight="1" x14ac:dyDescent="0.2">
      <c r="A230" s="133" t="s">
        <v>2379</v>
      </c>
      <c r="B230" s="137" t="s">
        <v>2339</v>
      </c>
      <c r="C230" s="135" t="s">
        <v>600</v>
      </c>
      <c r="D230" s="142" t="s">
        <v>2380</v>
      </c>
      <c r="E230" s="136">
        <v>3</v>
      </c>
      <c r="F230" s="135" t="s">
        <v>2081</v>
      </c>
      <c r="G230" s="137" t="s">
        <v>2082</v>
      </c>
      <c r="H230" s="143" t="s">
        <v>2119</v>
      </c>
      <c r="I230" s="134" t="s">
        <v>1943</v>
      </c>
      <c r="J230" s="135" t="s">
        <v>2081</v>
      </c>
    </row>
    <row r="231" spans="1:10" ht="37.5" customHeight="1" x14ac:dyDescent="0.2">
      <c r="A231" s="133" t="s">
        <v>2381</v>
      </c>
      <c r="B231" s="137" t="s">
        <v>2339</v>
      </c>
      <c r="C231" s="135" t="s">
        <v>600</v>
      </c>
      <c r="D231" s="142" t="s">
        <v>2382</v>
      </c>
      <c r="E231" s="136">
        <v>3</v>
      </c>
      <c r="F231" s="135" t="s">
        <v>2081</v>
      </c>
      <c r="G231" s="137" t="s">
        <v>2082</v>
      </c>
      <c r="H231" s="143" t="s">
        <v>2090</v>
      </c>
      <c r="I231" s="134" t="s">
        <v>1943</v>
      </c>
      <c r="J231" s="135" t="s">
        <v>2081</v>
      </c>
    </row>
    <row r="232" spans="1:10" ht="37.5" customHeight="1" x14ac:dyDescent="0.2">
      <c r="A232" s="133" t="s">
        <v>2383</v>
      </c>
      <c r="B232" s="137" t="s">
        <v>2339</v>
      </c>
      <c r="C232" s="135" t="s">
        <v>600</v>
      </c>
      <c r="D232" s="142" t="s">
        <v>2384</v>
      </c>
      <c r="E232" s="136">
        <v>3</v>
      </c>
      <c r="F232" s="135" t="s">
        <v>2081</v>
      </c>
      <c r="G232" s="137" t="s">
        <v>2082</v>
      </c>
      <c r="H232" s="143" t="s">
        <v>2087</v>
      </c>
      <c r="I232" s="134" t="s">
        <v>1943</v>
      </c>
      <c r="J232" s="135" t="s">
        <v>2081</v>
      </c>
    </row>
    <row r="233" spans="1:10" ht="37.5" customHeight="1" x14ac:dyDescent="0.2">
      <c r="A233" s="128" t="s">
        <v>2385</v>
      </c>
      <c r="B233" s="132" t="s">
        <v>2386</v>
      </c>
      <c r="C233" s="130" t="s">
        <v>600</v>
      </c>
      <c r="D233" s="139" t="s">
        <v>2387</v>
      </c>
      <c r="E233" s="131">
        <v>3</v>
      </c>
      <c r="F233" s="130" t="s">
        <v>2081</v>
      </c>
      <c r="G233" s="132" t="s">
        <v>2082</v>
      </c>
      <c r="H233" s="140" t="s">
        <v>2083</v>
      </c>
      <c r="I233" s="129" t="s">
        <v>1943</v>
      </c>
      <c r="J233" s="130" t="s">
        <v>2081</v>
      </c>
    </row>
    <row r="234" spans="1:10" ht="37.5" customHeight="1" x14ac:dyDescent="0.2">
      <c r="A234" s="128" t="s">
        <v>2388</v>
      </c>
      <c r="B234" s="132" t="s">
        <v>2386</v>
      </c>
      <c r="C234" s="130" t="s">
        <v>600</v>
      </c>
      <c r="D234" s="139" t="s">
        <v>2389</v>
      </c>
      <c r="E234" s="131">
        <v>3</v>
      </c>
      <c r="F234" s="130" t="s">
        <v>2081</v>
      </c>
      <c r="G234" s="132" t="s">
        <v>2082</v>
      </c>
      <c r="H234" s="140" t="s">
        <v>2090</v>
      </c>
      <c r="I234" s="129" t="s">
        <v>1943</v>
      </c>
      <c r="J234" s="130" t="s">
        <v>2081</v>
      </c>
    </row>
    <row r="235" spans="1:10" ht="37.5" customHeight="1" x14ac:dyDescent="0.2">
      <c r="A235" s="128" t="s">
        <v>2390</v>
      </c>
      <c r="B235" s="132" t="s">
        <v>2386</v>
      </c>
      <c r="C235" s="130" t="s">
        <v>600</v>
      </c>
      <c r="D235" s="139" t="s">
        <v>2391</v>
      </c>
      <c r="E235" s="131">
        <v>3</v>
      </c>
      <c r="F235" s="130" t="s">
        <v>2081</v>
      </c>
      <c r="G235" s="132" t="s">
        <v>2082</v>
      </c>
      <c r="H235" s="140" t="s">
        <v>2083</v>
      </c>
      <c r="I235" s="129" t="s">
        <v>1943</v>
      </c>
      <c r="J235" s="130" t="s">
        <v>2081</v>
      </c>
    </row>
    <row r="236" spans="1:10" ht="37.5" customHeight="1" x14ac:dyDescent="0.2">
      <c r="A236" s="128" t="s">
        <v>2392</v>
      </c>
      <c r="B236" s="132" t="s">
        <v>2386</v>
      </c>
      <c r="C236" s="130" t="s">
        <v>600</v>
      </c>
      <c r="D236" s="139" t="s">
        <v>2393</v>
      </c>
      <c r="E236" s="131">
        <v>3</v>
      </c>
      <c r="F236" s="130" t="s">
        <v>2081</v>
      </c>
      <c r="G236" s="132" t="s">
        <v>2082</v>
      </c>
      <c r="H236" s="140" t="s">
        <v>2083</v>
      </c>
      <c r="I236" s="129" t="s">
        <v>1943</v>
      </c>
      <c r="J236" s="130" t="s">
        <v>2081</v>
      </c>
    </row>
    <row r="237" spans="1:10" ht="37.5" customHeight="1" x14ac:dyDescent="0.2">
      <c r="A237" s="128" t="s">
        <v>2394</v>
      </c>
      <c r="B237" s="132" t="s">
        <v>2386</v>
      </c>
      <c r="C237" s="130" t="s">
        <v>600</v>
      </c>
      <c r="D237" s="139" t="s">
        <v>2395</v>
      </c>
      <c r="E237" s="131">
        <v>2</v>
      </c>
      <c r="F237" s="130" t="s">
        <v>2081</v>
      </c>
      <c r="G237" s="132" t="s">
        <v>2082</v>
      </c>
      <c r="H237" s="140" t="s">
        <v>2090</v>
      </c>
      <c r="I237" s="129" t="s">
        <v>1943</v>
      </c>
      <c r="J237" s="130" t="s">
        <v>2081</v>
      </c>
    </row>
    <row r="238" spans="1:10" ht="37.5" customHeight="1" x14ac:dyDescent="0.2">
      <c r="A238" s="128" t="s">
        <v>2396</v>
      </c>
      <c r="B238" s="132" t="s">
        <v>2386</v>
      </c>
      <c r="C238" s="130" t="s">
        <v>600</v>
      </c>
      <c r="D238" s="139" t="s">
        <v>2397</v>
      </c>
      <c r="E238" s="131">
        <v>3</v>
      </c>
      <c r="F238" s="130" t="s">
        <v>2081</v>
      </c>
      <c r="G238" s="132" t="s">
        <v>2082</v>
      </c>
      <c r="H238" s="140" t="s">
        <v>2083</v>
      </c>
      <c r="I238" s="129" t="s">
        <v>1943</v>
      </c>
      <c r="J238" s="130" t="s">
        <v>2081</v>
      </c>
    </row>
    <row r="239" spans="1:10" ht="37.5" customHeight="1" x14ac:dyDescent="0.2">
      <c r="A239" s="128" t="s">
        <v>2398</v>
      </c>
      <c r="B239" s="132" t="s">
        <v>2386</v>
      </c>
      <c r="C239" s="130" t="s">
        <v>600</v>
      </c>
      <c r="D239" s="139" t="s">
        <v>2399</v>
      </c>
      <c r="E239" s="131">
        <v>3</v>
      </c>
      <c r="F239" s="130" t="s">
        <v>2081</v>
      </c>
      <c r="G239" s="132" t="s">
        <v>2082</v>
      </c>
      <c r="H239" s="140" t="s">
        <v>2083</v>
      </c>
      <c r="I239" s="129" t="s">
        <v>1943</v>
      </c>
      <c r="J239" s="130" t="s">
        <v>2081</v>
      </c>
    </row>
    <row r="240" spans="1:10" ht="37.5" customHeight="1" x14ac:dyDescent="0.2">
      <c r="A240" s="128" t="s">
        <v>2400</v>
      </c>
      <c r="B240" s="132" t="s">
        <v>2386</v>
      </c>
      <c r="C240" s="130" t="s">
        <v>600</v>
      </c>
      <c r="D240" s="139" t="s">
        <v>2401</v>
      </c>
      <c r="E240" s="131">
        <v>3</v>
      </c>
      <c r="F240" s="130" t="s">
        <v>2081</v>
      </c>
      <c r="G240" s="132" t="s">
        <v>2082</v>
      </c>
      <c r="H240" s="140" t="s">
        <v>2093</v>
      </c>
      <c r="I240" s="129" t="s">
        <v>1943</v>
      </c>
      <c r="J240" s="130" t="s">
        <v>2081</v>
      </c>
    </row>
    <row r="241" spans="1:10" ht="37.5" customHeight="1" x14ac:dyDescent="0.2">
      <c r="A241" s="128" t="s">
        <v>2402</v>
      </c>
      <c r="B241" s="132" t="s">
        <v>2386</v>
      </c>
      <c r="C241" s="130" t="s">
        <v>600</v>
      </c>
      <c r="D241" s="139" t="s">
        <v>2403</v>
      </c>
      <c r="E241" s="131">
        <v>3</v>
      </c>
      <c r="F241" s="130" t="s">
        <v>2081</v>
      </c>
      <c r="G241" s="132" t="s">
        <v>2082</v>
      </c>
      <c r="H241" s="140" t="s">
        <v>2090</v>
      </c>
      <c r="I241" s="129" t="s">
        <v>1943</v>
      </c>
      <c r="J241" s="130" t="s">
        <v>2081</v>
      </c>
    </row>
    <row r="242" spans="1:10" ht="37.5" customHeight="1" x14ac:dyDescent="0.2">
      <c r="A242" s="128" t="s">
        <v>2404</v>
      </c>
      <c r="B242" s="132" t="s">
        <v>2386</v>
      </c>
      <c r="C242" s="130" t="s">
        <v>600</v>
      </c>
      <c r="D242" s="139" t="s">
        <v>2391</v>
      </c>
      <c r="E242" s="131">
        <v>3</v>
      </c>
      <c r="F242" s="130" t="s">
        <v>2081</v>
      </c>
      <c r="G242" s="132" t="s">
        <v>2082</v>
      </c>
      <c r="H242" s="140" t="s">
        <v>2083</v>
      </c>
      <c r="I242" s="129" t="s">
        <v>1943</v>
      </c>
      <c r="J242" s="130" t="s">
        <v>2081</v>
      </c>
    </row>
    <row r="243" spans="1:10" ht="37.5" customHeight="1" x14ac:dyDescent="0.2">
      <c r="A243" s="128" t="s">
        <v>2405</v>
      </c>
      <c r="B243" s="132" t="s">
        <v>2386</v>
      </c>
      <c r="C243" s="130" t="s">
        <v>600</v>
      </c>
      <c r="D243" s="139" t="s">
        <v>2406</v>
      </c>
      <c r="E243" s="131">
        <v>3</v>
      </c>
      <c r="F243" s="130" t="s">
        <v>2081</v>
      </c>
      <c r="G243" s="132" t="s">
        <v>2082</v>
      </c>
      <c r="H243" s="140" t="s">
        <v>2090</v>
      </c>
      <c r="I243" s="129" t="s">
        <v>1943</v>
      </c>
      <c r="J243" s="130" t="s">
        <v>2081</v>
      </c>
    </row>
    <row r="244" spans="1:10" ht="37.5" customHeight="1" x14ac:dyDescent="0.2">
      <c r="A244" s="128" t="s">
        <v>2407</v>
      </c>
      <c r="B244" s="132" t="s">
        <v>2386</v>
      </c>
      <c r="C244" s="130" t="s">
        <v>600</v>
      </c>
      <c r="D244" s="139" t="s">
        <v>2408</v>
      </c>
      <c r="E244" s="131">
        <v>3</v>
      </c>
      <c r="F244" s="130" t="s">
        <v>2081</v>
      </c>
      <c r="G244" s="132" t="s">
        <v>2082</v>
      </c>
      <c r="H244" s="140" t="s">
        <v>2083</v>
      </c>
      <c r="I244" s="129" t="s">
        <v>1943</v>
      </c>
      <c r="J244" s="130" t="s">
        <v>2081</v>
      </c>
    </row>
    <row r="245" spans="1:10" ht="37.5" customHeight="1" x14ac:dyDescent="0.2">
      <c r="A245" s="128" t="s">
        <v>2409</v>
      </c>
      <c r="B245" s="132" t="s">
        <v>2386</v>
      </c>
      <c r="C245" s="130" t="s">
        <v>600</v>
      </c>
      <c r="D245" s="139" t="s">
        <v>2410</v>
      </c>
      <c r="E245" s="131">
        <v>3</v>
      </c>
      <c r="F245" s="130" t="s">
        <v>2081</v>
      </c>
      <c r="G245" s="132" t="s">
        <v>2082</v>
      </c>
      <c r="H245" s="140" t="s">
        <v>2090</v>
      </c>
      <c r="I245" s="129" t="s">
        <v>1943</v>
      </c>
      <c r="J245" s="130" t="s">
        <v>2081</v>
      </c>
    </row>
    <row r="246" spans="1:10" ht="37.5" customHeight="1" x14ac:dyDescent="0.2">
      <c r="A246" s="128" t="s">
        <v>2411</v>
      </c>
      <c r="B246" s="132" t="s">
        <v>2386</v>
      </c>
      <c r="C246" s="130" t="s">
        <v>600</v>
      </c>
      <c r="D246" s="139" t="s">
        <v>2387</v>
      </c>
      <c r="E246" s="131">
        <v>3</v>
      </c>
      <c r="F246" s="130" t="s">
        <v>2081</v>
      </c>
      <c r="G246" s="132" t="s">
        <v>2082</v>
      </c>
      <c r="H246" s="140" t="s">
        <v>2083</v>
      </c>
      <c r="I246" s="129" t="s">
        <v>1943</v>
      </c>
      <c r="J246" s="130" t="s">
        <v>2081</v>
      </c>
    </row>
    <row r="247" spans="1:10" ht="37.5" customHeight="1" x14ac:dyDescent="0.2">
      <c r="A247" s="128" t="s">
        <v>2412</v>
      </c>
      <c r="B247" s="132" t="s">
        <v>2386</v>
      </c>
      <c r="C247" s="130" t="s">
        <v>600</v>
      </c>
      <c r="D247" s="139" t="s">
        <v>2387</v>
      </c>
      <c r="E247" s="131">
        <v>3</v>
      </c>
      <c r="F247" s="130" t="s">
        <v>2081</v>
      </c>
      <c r="G247" s="132" t="s">
        <v>2082</v>
      </c>
      <c r="H247" s="140" t="s">
        <v>2083</v>
      </c>
      <c r="I247" s="129" t="s">
        <v>1943</v>
      </c>
      <c r="J247" s="130" t="s">
        <v>2081</v>
      </c>
    </row>
    <row r="248" spans="1:10" ht="37.5" customHeight="1" x14ac:dyDescent="0.2">
      <c r="A248" s="128" t="s">
        <v>2413</v>
      </c>
      <c r="B248" s="132" t="s">
        <v>2386</v>
      </c>
      <c r="C248" s="130" t="s">
        <v>600</v>
      </c>
      <c r="D248" s="139" t="s">
        <v>2414</v>
      </c>
      <c r="E248" s="131">
        <v>5</v>
      </c>
      <c r="F248" s="130" t="s">
        <v>2081</v>
      </c>
      <c r="G248" s="132" t="s">
        <v>2082</v>
      </c>
      <c r="H248" s="140" t="s">
        <v>2083</v>
      </c>
      <c r="I248" s="129" t="s">
        <v>1943</v>
      </c>
      <c r="J248" s="130" t="s">
        <v>2081</v>
      </c>
    </row>
    <row r="249" spans="1:10" ht="37.5" customHeight="1" x14ac:dyDescent="0.2">
      <c r="A249" s="128" t="s">
        <v>2415</v>
      </c>
      <c r="B249" s="132" t="s">
        <v>2386</v>
      </c>
      <c r="C249" s="130" t="s">
        <v>600</v>
      </c>
      <c r="D249" s="139" t="s">
        <v>2416</v>
      </c>
      <c r="E249" s="131">
        <v>3</v>
      </c>
      <c r="F249" s="130" t="s">
        <v>2081</v>
      </c>
      <c r="G249" s="132" t="s">
        <v>2082</v>
      </c>
      <c r="H249" s="140" t="s">
        <v>2090</v>
      </c>
      <c r="I249" s="129" t="s">
        <v>1943</v>
      </c>
      <c r="J249" s="130" t="s">
        <v>2081</v>
      </c>
    </row>
    <row r="250" spans="1:10" ht="37.5" customHeight="1" x14ac:dyDescent="0.2">
      <c r="A250" s="128" t="s">
        <v>2417</v>
      </c>
      <c r="B250" s="132" t="s">
        <v>2386</v>
      </c>
      <c r="C250" s="130" t="s">
        <v>600</v>
      </c>
      <c r="D250" s="139" t="s">
        <v>2418</v>
      </c>
      <c r="E250" s="131">
        <v>3</v>
      </c>
      <c r="F250" s="130" t="s">
        <v>2081</v>
      </c>
      <c r="G250" s="132" t="s">
        <v>2082</v>
      </c>
      <c r="H250" s="140" t="s">
        <v>2208</v>
      </c>
      <c r="I250" s="129" t="s">
        <v>1943</v>
      </c>
      <c r="J250" s="130" t="s">
        <v>2081</v>
      </c>
    </row>
    <row r="251" spans="1:10" ht="37.5" customHeight="1" x14ac:dyDescent="0.2">
      <c r="A251" s="133" t="s">
        <v>2419</v>
      </c>
      <c r="B251" s="137" t="s">
        <v>2420</v>
      </c>
      <c r="C251" s="135" t="s">
        <v>618</v>
      </c>
      <c r="D251" s="142" t="s">
        <v>2421</v>
      </c>
      <c r="E251" s="136">
        <v>5</v>
      </c>
      <c r="F251" s="135" t="s">
        <v>2081</v>
      </c>
      <c r="G251" s="137" t="s">
        <v>2082</v>
      </c>
      <c r="H251" s="143" t="s">
        <v>2422</v>
      </c>
      <c r="I251" s="134" t="s">
        <v>2084</v>
      </c>
      <c r="J251" s="135" t="s">
        <v>2081</v>
      </c>
    </row>
    <row r="252" spans="1:10" ht="37.5" customHeight="1" x14ac:dyDescent="0.2">
      <c r="A252" s="133" t="s">
        <v>2423</v>
      </c>
      <c r="B252" s="137" t="s">
        <v>2420</v>
      </c>
      <c r="C252" s="135" t="s">
        <v>618</v>
      </c>
      <c r="D252" s="142" t="s">
        <v>2424</v>
      </c>
      <c r="E252" s="136">
        <v>3</v>
      </c>
      <c r="F252" s="135" t="s">
        <v>2081</v>
      </c>
      <c r="G252" s="137" t="s">
        <v>2082</v>
      </c>
      <c r="H252" s="143" t="s">
        <v>2090</v>
      </c>
      <c r="I252" s="134" t="s">
        <v>2084</v>
      </c>
      <c r="J252" s="135" t="s">
        <v>2081</v>
      </c>
    </row>
    <row r="253" spans="1:10" ht="37.5" customHeight="1" x14ac:dyDescent="0.2">
      <c r="A253" s="133" t="s">
        <v>2425</v>
      </c>
      <c r="B253" s="137" t="s">
        <v>2420</v>
      </c>
      <c r="C253" s="135" t="s">
        <v>618</v>
      </c>
      <c r="D253" s="142" t="s">
        <v>2315</v>
      </c>
      <c r="E253" s="136">
        <v>5</v>
      </c>
      <c r="F253" s="135" t="s">
        <v>2081</v>
      </c>
      <c r="G253" s="137" t="s">
        <v>2082</v>
      </c>
      <c r="H253" s="143" t="s">
        <v>2090</v>
      </c>
      <c r="I253" s="134" t="s">
        <v>2084</v>
      </c>
      <c r="J253" s="135" t="s">
        <v>2081</v>
      </c>
    </row>
    <row r="254" spans="1:10" ht="37.5" customHeight="1" x14ac:dyDescent="0.2">
      <c r="A254" s="133" t="s">
        <v>2426</v>
      </c>
      <c r="B254" s="137" t="s">
        <v>2420</v>
      </c>
      <c r="C254" s="135" t="s">
        <v>618</v>
      </c>
      <c r="D254" s="142" t="s">
        <v>2421</v>
      </c>
      <c r="E254" s="136">
        <v>5</v>
      </c>
      <c r="F254" s="135" t="s">
        <v>2081</v>
      </c>
      <c r="G254" s="137" t="s">
        <v>2082</v>
      </c>
      <c r="H254" s="143" t="s">
        <v>2422</v>
      </c>
      <c r="I254" s="134" t="s">
        <v>2084</v>
      </c>
      <c r="J254" s="135" t="s">
        <v>2081</v>
      </c>
    </row>
    <row r="255" spans="1:10" ht="27.75" customHeight="1" x14ac:dyDescent="0.2">
      <c r="A255" s="256"/>
      <c r="B255" s="256"/>
      <c r="C255" s="256"/>
      <c r="D255" s="256"/>
      <c r="E255" s="256"/>
      <c r="F255" s="256"/>
      <c r="G255" s="256"/>
      <c r="H255" s="256"/>
      <c r="I255" s="3"/>
      <c r="J255" s="3"/>
    </row>
    <row r="256" spans="1:10" ht="27.75" customHeight="1" x14ac:dyDescent="0.2">
      <c r="A256" s="256"/>
      <c r="B256" s="256"/>
      <c r="C256" s="256"/>
      <c r="D256" s="256"/>
      <c r="E256" s="256"/>
      <c r="F256" s="256"/>
      <c r="G256" s="256"/>
      <c r="H256" s="256"/>
      <c r="I256" s="3"/>
      <c r="J256" s="3"/>
    </row>
    <row r="257" spans="1:10" ht="27.75" customHeight="1" x14ac:dyDescent="0.2">
      <c r="A257" s="128" t="s">
        <v>772</v>
      </c>
      <c r="B257" s="132"/>
      <c r="C257" s="130"/>
      <c r="D257" s="139"/>
      <c r="E257" s="131"/>
      <c r="F257" s="130"/>
      <c r="G257" s="132"/>
      <c r="H257" s="140"/>
      <c r="I257" s="129"/>
      <c r="J257" s="130"/>
    </row>
    <row r="258" spans="1:10" ht="27.75" customHeight="1" x14ac:dyDescent="0.2">
      <c r="A258" s="133" t="s">
        <v>2427</v>
      </c>
      <c r="B258" s="137">
        <f>COUNTA(A5:A254)</f>
        <v>250</v>
      </c>
      <c r="C258" s="135"/>
      <c r="D258" s="142"/>
      <c r="E258" s="136"/>
      <c r="F258" s="135"/>
      <c r="G258" s="137"/>
      <c r="H258" s="143"/>
      <c r="I258" s="134"/>
      <c r="J258" s="135"/>
    </row>
    <row r="259" spans="1:10" ht="27.75" customHeight="1" x14ac:dyDescent="0.2">
      <c r="A259" s="128" t="s">
        <v>933</v>
      </c>
      <c r="B259" s="132">
        <f>SUMIF(J5:J254,"Planifié",E5:E254)</f>
        <v>241</v>
      </c>
      <c r="C259" s="130"/>
      <c r="D259" s="139"/>
      <c r="E259" s="131"/>
      <c r="F259" s="130"/>
      <c r="G259" s="132"/>
      <c r="H259" s="140"/>
      <c r="I259" s="129"/>
      <c r="J259" s="130"/>
    </row>
    <row r="260" spans="1:10" ht="27.75" customHeight="1" x14ac:dyDescent="0.2">
      <c r="A260" s="133" t="s">
        <v>2428</v>
      </c>
      <c r="B260" s="137">
        <f>SUMIF(J5:J254,"Livré",E5:E254)</f>
        <v>575</v>
      </c>
      <c r="C260" s="135"/>
      <c r="D260" s="142"/>
      <c r="E260" s="136"/>
      <c r="F260" s="135"/>
      <c r="G260" s="137"/>
      <c r="H260" s="143"/>
      <c r="I260" s="134"/>
      <c r="J260" s="135"/>
    </row>
    <row r="261" spans="1:10" ht="27.75" customHeight="1" x14ac:dyDescent="0.2">
      <c r="A261" s="128" t="s">
        <v>2429</v>
      </c>
      <c r="B261" s="132">
        <f>SUM(E5:E254)</f>
        <v>816</v>
      </c>
      <c r="C261" s="130"/>
      <c r="D261" s="139"/>
      <c r="E261" s="131"/>
      <c r="F261" s="130"/>
      <c r="G261" s="132"/>
      <c r="H261" s="140"/>
      <c r="I261" s="129"/>
      <c r="J261" s="130"/>
    </row>
    <row r="262" spans="1:10" ht="27.75" customHeight="1" x14ac:dyDescent="0.2">
      <c r="A262" s="256"/>
      <c r="B262" s="256"/>
      <c r="C262" s="256"/>
      <c r="D262" s="256"/>
      <c r="E262" s="256"/>
      <c r="F262" s="256"/>
      <c r="G262" s="256"/>
      <c r="H262" s="256"/>
      <c r="I262" s="3"/>
      <c r="J262" s="3"/>
    </row>
    <row r="263" spans="1:10" ht="27.75" customHeight="1" x14ac:dyDescent="0.2">
      <c r="A263" s="257"/>
      <c r="B263" s="257"/>
      <c r="C263" s="257"/>
      <c r="D263" s="257"/>
      <c r="E263" s="257"/>
      <c r="F263" s="257"/>
      <c r="G263" s="257"/>
      <c r="H263" s="257"/>
      <c r="I263" s="3"/>
      <c r="J263" s="3"/>
    </row>
    <row r="264" spans="1:10" ht="27.75" customHeight="1" x14ac:dyDescent="0.2">
      <c r="A264" s="256"/>
      <c r="B264" s="256"/>
      <c r="C264" s="256"/>
      <c r="D264" s="256"/>
      <c r="E264" s="256"/>
      <c r="F264" s="256"/>
      <c r="G264" s="256"/>
      <c r="H264" s="256"/>
      <c r="I264" s="3"/>
      <c r="J264" s="3"/>
    </row>
    <row r="265" spans="1:10" ht="27.75" customHeight="1" x14ac:dyDescent="0.2">
      <c r="A265" s="256"/>
      <c r="B265" s="256"/>
      <c r="C265" s="256"/>
      <c r="D265" s="256"/>
      <c r="E265" s="256"/>
      <c r="F265" s="256"/>
      <c r="G265" s="256"/>
      <c r="H265" s="256"/>
      <c r="I265" s="3"/>
      <c r="J265" s="3"/>
    </row>
    <row r="266" spans="1:10" ht="27.75" customHeight="1" x14ac:dyDescent="0.2">
      <c r="A266" s="256"/>
      <c r="B266" s="256"/>
      <c r="C266" s="256"/>
      <c r="D266" s="256"/>
      <c r="E266" s="256"/>
      <c r="F266" s="256"/>
      <c r="G266" s="256"/>
      <c r="H266" s="256"/>
      <c r="I266" s="3"/>
      <c r="J266" s="3"/>
    </row>
    <row r="267" spans="1:10" ht="27.75" customHeight="1" x14ac:dyDescent="0.2">
      <c r="A267" s="256"/>
      <c r="B267" s="256"/>
      <c r="C267" s="256"/>
      <c r="D267" s="256"/>
      <c r="E267" s="256"/>
      <c r="F267" s="256"/>
      <c r="G267" s="256"/>
      <c r="H267" s="256"/>
      <c r="I267" s="3"/>
      <c r="J267" s="3"/>
    </row>
    <row r="268" spans="1:10" ht="27.75" customHeight="1" x14ac:dyDescent="0.2">
      <c r="A268" s="256"/>
      <c r="B268" s="256"/>
      <c r="C268" s="256"/>
      <c r="D268" s="256"/>
      <c r="E268" s="256"/>
      <c r="F268" s="256"/>
      <c r="G268" s="256"/>
      <c r="H268" s="256"/>
      <c r="I268" s="3"/>
      <c r="J268" s="3"/>
    </row>
    <row r="269" spans="1:10" ht="27.75" customHeight="1" x14ac:dyDescent="0.2">
      <c r="A269" s="256"/>
      <c r="B269" s="256"/>
      <c r="C269" s="256"/>
      <c r="D269" s="256"/>
      <c r="E269" s="256"/>
      <c r="F269" s="256"/>
      <c r="G269" s="256"/>
      <c r="H269" s="256"/>
      <c r="I269" s="3"/>
      <c r="J269" s="3"/>
    </row>
    <row r="270" spans="1:10" ht="27.75" customHeight="1" x14ac:dyDescent="0.2">
      <c r="A270" s="258"/>
      <c r="B270" s="258"/>
      <c r="C270" s="258"/>
      <c r="D270" s="258"/>
      <c r="E270" s="258"/>
      <c r="F270" s="258"/>
      <c r="G270" s="258"/>
      <c r="H270" s="258"/>
      <c r="I270" s="3"/>
      <c r="J270" s="3"/>
    </row>
    <row r="271" spans="1:10" ht="27.75" customHeight="1" x14ac:dyDescent="0.2">
      <c r="A271" s="133" t="s">
        <v>2430</v>
      </c>
      <c r="B271" s="137" t="s">
        <v>799</v>
      </c>
      <c r="C271" s="135" t="s">
        <v>2431</v>
      </c>
      <c r="D271" s="142" t="s">
        <v>2432</v>
      </c>
      <c r="E271" s="136">
        <v>5</v>
      </c>
      <c r="F271" s="135" t="s">
        <v>2433</v>
      </c>
      <c r="G271" s="137" t="s">
        <v>2431</v>
      </c>
      <c r="H271" s="143"/>
      <c r="I271" s="134"/>
      <c r="J271" s="135"/>
    </row>
  </sheetData>
  <autoFilter ref="A4:J271" xr:uid="{00000000-0009-0000-0000-00000E000000}"/>
  <mergeCells count="1">
    <mergeCell ref="A3:J3"/>
  </mergeCells>
  <conditionalFormatting sqref="E5:E271">
    <cfRule type="cellIs" dxfId="25" priority="11" operator="greaterThanOrEqual">
      <formula>5</formula>
    </cfRule>
  </conditionalFormatting>
  <conditionalFormatting sqref="F5:F80">
    <cfRule type="cellIs" dxfId="24" priority="2" operator="equal">
      <formula>"Terminé"</formula>
    </cfRule>
    <cfRule type="cellIs" dxfId="23" priority="3" operator="equal">
      <formula>"Backlog"</formula>
    </cfRule>
    <cfRule type="cellIs" dxfId="22" priority="4" operator="equal">
      <formula>"En cours"</formula>
    </cfRule>
  </conditionalFormatting>
  <conditionalFormatting sqref="F5:F271">
    <cfRule type="cellIs" dxfId="21" priority="5" operator="equal">
      <formula>"Terminé"</formula>
    </cfRule>
    <cfRule type="cellIs" dxfId="20" priority="6" operator="equal">
      <formula>"Livré"</formula>
    </cfRule>
    <cfRule type="cellIs" dxfId="19" priority="7" operator="equal">
      <formula>"En cours"</formula>
    </cfRule>
    <cfRule type="cellIs" dxfId="18" priority="8" operator="equal">
      <formula>"Backlog"</formula>
    </cfRule>
  </conditionalFormatting>
  <conditionalFormatting sqref="J5:J271">
    <cfRule type="cellIs" dxfId="17" priority="9" operator="equal">
      <formula>"Livré"</formula>
    </cfRule>
    <cfRule type="cellIs" dxfId="16" priority="10" operator="equal">
      <formula>"Planifié"</formula>
    </cfRule>
  </conditionalFormatting>
  <dataValidations count="4">
    <dataValidation type="list" allowBlank="1" sqref="E5:E260" xr:uid="{00000000-0002-0000-0E00-000000000000}">
      <formula1>"1,2,3,5,8"</formula1>
      <formula2>0</formula2>
    </dataValidation>
    <dataValidation type="list" allowBlank="1" sqref="F5:F260" xr:uid="{00000000-0002-0000-0E00-000001000000}">
      <formula1>"Backlog,En cours,Terminé,Livré"</formula1>
      <formula2>0</formula2>
    </dataValidation>
    <dataValidation type="list" allowBlank="1" sqref="G5:G260" xr:uid="{00000000-0002-0000-0E00-000002000000}">
      <formula1>"S1,S2,S3,S4,S5,S6,Pré-PI"</formula1>
      <formula2>0</formula2>
    </dataValidation>
    <dataValidation type="list" allowBlank="1" sqref="J5:J260" xr:uid="{00000000-0002-0000-0E00-000003000000}">
      <formula1>"Planifié,Livré"</formula1>
      <formula2>0</formula2>
    </dataValidation>
  </dataValidations>
  <hyperlinks>
    <hyperlink ref="A1" r:id="rId1" location="Dashboard!A1" xr:uid="{00000000-0004-0000-0E00-000000000000}"/>
    <hyperlink ref="B1" location="'Features &amp; US'!A1" display="← Features &amp; US" xr:uid="{00000000-0004-0000-0E00-000001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04"/>
  <sheetViews>
    <sheetView zoomScale="142" zoomScaleNormal="75" workbookViewId="0">
      <pane ySplit="3" topLeftCell="A4" activePane="bottomLeft" state="frozen"/>
      <selection activeCell="H8" sqref="H8"/>
      <selection pane="bottomLeft" activeCell="B11" sqref="B11"/>
    </sheetView>
  </sheetViews>
  <sheetFormatPr baseColWidth="10" defaultColWidth="8.6640625" defaultRowHeight="15" customHeight="1" x14ac:dyDescent="0.2"/>
  <cols>
    <col min="1" max="1" width="36.33203125" customWidth="1"/>
    <col min="2" max="2" width="58.33203125" customWidth="1"/>
    <col min="3" max="3" width="15" customWidth="1"/>
    <col min="4" max="4" width="11.6640625" customWidth="1"/>
    <col min="5" max="5" width="33.33203125" customWidth="1"/>
    <col min="6" max="6" width="22.83203125" customWidth="1"/>
  </cols>
  <sheetData>
    <row r="1" spans="1:6" ht="30" customHeight="1" x14ac:dyDescent="0.2">
      <c r="A1" s="248" t="s">
        <v>70</v>
      </c>
      <c r="B1" s="285" t="s">
        <v>1290</v>
      </c>
      <c r="C1" s="285"/>
      <c r="D1" s="285"/>
      <c r="E1" s="285"/>
      <c r="F1" s="285"/>
    </row>
    <row r="2" spans="1:6" ht="15" customHeight="1" x14ac:dyDescent="0.2">
      <c r="A2" s="295" t="s">
        <v>1291</v>
      </c>
      <c r="B2" s="295"/>
      <c r="C2" s="295"/>
      <c r="D2" s="295"/>
      <c r="E2" s="295"/>
      <c r="F2" s="295"/>
    </row>
    <row r="3" spans="1:6" ht="27.75" customHeight="1" x14ac:dyDescent="0.2">
      <c r="A3" s="127" t="s">
        <v>235</v>
      </c>
      <c r="B3" s="127" t="s">
        <v>192</v>
      </c>
      <c r="C3" s="127" t="s">
        <v>31</v>
      </c>
      <c r="D3" s="127" t="s">
        <v>1292</v>
      </c>
      <c r="E3" s="127" t="s">
        <v>1293</v>
      </c>
      <c r="F3" s="127" t="s">
        <v>1294</v>
      </c>
    </row>
    <row r="4" spans="1:6" ht="21.75" customHeight="1" x14ac:dyDescent="0.2">
      <c r="A4" s="128" t="s">
        <v>1295</v>
      </c>
      <c r="B4" s="139" t="s">
        <v>1296</v>
      </c>
      <c r="C4" s="132" t="s">
        <v>1297</v>
      </c>
      <c r="D4" s="130" t="s">
        <v>1298</v>
      </c>
      <c r="E4" s="129" t="s">
        <v>1299</v>
      </c>
      <c r="F4" s="130" t="s">
        <v>1300</v>
      </c>
    </row>
    <row r="5" spans="1:6" ht="21.75" customHeight="1" x14ac:dyDescent="0.2">
      <c r="A5" s="128" t="s">
        <v>1301</v>
      </c>
      <c r="B5" s="139" t="s">
        <v>1302</v>
      </c>
      <c r="C5" s="132" t="s">
        <v>1297</v>
      </c>
      <c r="D5" s="130" t="s">
        <v>1298</v>
      </c>
      <c r="E5" s="129" t="s">
        <v>1303</v>
      </c>
      <c r="F5" s="130" t="s">
        <v>1300</v>
      </c>
    </row>
    <row r="6" spans="1:6" ht="21.75" customHeight="1" x14ac:dyDescent="0.2">
      <c r="A6" s="128" t="s">
        <v>1304</v>
      </c>
      <c r="B6" s="139" t="s">
        <v>1305</v>
      </c>
      <c r="C6" s="132" t="s">
        <v>1297</v>
      </c>
      <c r="D6" s="130" t="s">
        <v>1298</v>
      </c>
      <c r="E6" s="129" t="s">
        <v>1306</v>
      </c>
      <c r="F6" s="130" t="s">
        <v>1300</v>
      </c>
    </row>
    <row r="7" spans="1:6" ht="21.75" customHeight="1" x14ac:dyDescent="0.2">
      <c r="A7" s="128" t="s">
        <v>1307</v>
      </c>
      <c r="B7" s="139" t="s">
        <v>1308</v>
      </c>
      <c r="C7" s="132" t="s">
        <v>1297</v>
      </c>
      <c r="D7" s="130" t="s">
        <v>1298</v>
      </c>
      <c r="E7" s="129" t="s">
        <v>1309</v>
      </c>
      <c r="F7" s="130" t="s">
        <v>1300</v>
      </c>
    </row>
    <row r="8" spans="1:6" ht="21.75" customHeight="1" x14ac:dyDescent="0.2">
      <c r="A8" s="128" t="s">
        <v>1310</v>
      </c>
      <c r="B8" s="139" t="s">
        <v>1311</v>
      </c>
      <c r="C8" s="132" t="s">
        <v>1297</v>
      </c>
      <c r="D8" s="130" t="s">
        <v>1298</v>
      </c>
      <c r="E8" s="129" t="s">
        <v>1312</v>
      </c>
      <c r="F8" s="130" t="s">
        <v>1300</v>
      </c>
    </row>
    <row r="9" spans="1:6" ht="21.75" customHeight="1" x14ac:dyDescent="0.2">
      <c r="A9" s="128" t="s">
        <v>1313</v>
      </c>
      <c r="B9" s="139" t="s">
        <v>1314</v>
      </c>
      <c r="C9" s="132" t="s">
        <v>1297</v>
      </c>
      <c r="D9" s="130" t="s">
        <v>1298</v>
      </c>
      <c r="E9" s="129" t="s">
        <v>1315</v>
      </c>
      <c r="F9" s="130" t="s">
        <v>1300</v>
      </c>
    </row>
    <row r="10" spans="1:6" ht="21.75" customHeight="1" x14ac:dyDescent="0.2">
      <c r="A10" s="128" t="s">
        <v>1316</v>
      </c>
      <c r="B10" s="139" t="s">
        <v>1317</v>
      </c>
      <c r="C10" s="132" t="s">
        <v>1297</v>
      </c>
      <c r="D10" s="130" t="s">
        <v>1298</v>
      </c>
      <c r="E10" s="129" t="s">
        <v>1318</v>
      </c>
      <c r="F10" s="130" t="s">
        <v>1300</v>
      </c>
    </row>
    <row r="11" spans="1:6" ht="21.75" customHeight="1" x14ac:dyDescent="0.2">
      <c r="A11" s="128" t="s">
        <v>1319</v>
      </c>
      <c r="B11" s="139" t="s">
        <v>1320</v>
      </c>
      <c r="C11" s="132" t="s">
        <v>1297</v>
      </c>
      <c r="D11" s="130" t="s">
        <v>1298</v>
      </c>
      <c r="E11" s="129" t="s">
        <v>390</v>
      </c>
      <c r="F11" s="130" t="s">
        <v>1300</v>
      </c>
    </row>
    <row r="12" spans="1:6" ht="21.75" customHeight="1" x14ac:dyDescent="0.2">
      <c r="A12" s="128" t="s">
        <v>1321</v>
      </c>
      <c r="B12" s="139" t="s">
        <v>1322</v>
      </c>
      <c r="C12" s="132" t="s">
        <v>1297</v>
      </c>
      <c r="D12" s="130" t="s">
        <v>1298</v>
      </c>
      <c r="E12" s="129" t="s">
        <v>1323</v>
      </c>
      <c r="F12" s="130" t="s">
        <v>1300</v>
      </c>
    </row>
    <row r="13" spans="1:6" ht="21.75" customHeight="1" x14ac:dyDescent="0.2">
      <c r="A13" s="128" t="s">
        <v>1324</v>
      </c>
      <c r="B13" s="139" t="s">
        <v>1325</v>
      </c>
      <c r="C13" s="132" t="s">
        <v>1297</v>
      </c>
      <c r="D13" s="130" t="s">
        <v>1298</v>
      </c>
      <c r="E13" s="129" t="s">
        <v>1326</v>
      </c>
      <c r="F13" s="130" t="s">
        <v>1300</v>
      </c>
    </row>
    <row r="14" spans="1:6" ht="21.75" customHeight="1" x14ac:dyDescent="0.2">
      <c r="A14" s="128" t="s">
        <v>1327</v>
      </c>
      <c r="B14" s="139" t="s">
        <v>1328</v>
      </c>
      <c r="C14" s="132" t="s">
        <v>1297</v>
      </c>
      <c r="D14" s="130" t="s">
        <v>1298</v>
      </c>
      <c r="E14" s="129" t="s">
        <v>1315</v>
      </c>
      <c r="F14" s="130" t="s">
        <v>1300</v>
      </c>
    </row>
    <row r="15" spans="1:6" ht="21.75" customHeight="1" x14ac:dyDescent="0.2">
      <c r="A15" s="128" t="s">
        <v>1329</v>
      </c>
      <c r="B15" s="139" t="s">
        <v>1330</v>
      </c>
      <c r="C15" s="132" t="s">
        <v>1297</v>
      </c>
      <c r="D15" s="130" t="s">
        <v>1298</v>
      </c>
      <c r="E15" s="129" t="s">
        <v>1331</v>
      </c>
      <c r="F15" s="130" t="s">
        <v>1300</v>
      </c>
    </row>
    <row r="16" spans="1:6" ht="21.75" customHeight="1" x14ac:dyDescent="0.2">
      <c r="A16" s="128" t="s">
        <v>1332</v>
      </c>
      <c r="B16" s="139" t="s">
        <v>1333</v>
      </c>
      <c r="C16" s="132" t="s">
        <v>1297</v>
      </c>
      <c r="D16" s="130" t="s">
        <v>1298</v>
      </c>
      <c r="E16" s="129" t="s">
        <v>1334</v>
      </c>
      <c r="F16" s="130" t="s">
        <v>1300</v>
      </c>
    </row>
    <row r="17" spans="1:6" ht="21.75" customHeight="1" x14ac:dyDescent="0.2">
      <c r="A17" s="133" t="s">
        <v>1335</v>
      </c>
      <c r="B17" s="142" t="s">
        <v>1336</v>
      </c>
      <c r="C17" s="137" t="s">
        <v>1297</v>
      </c>
      <c r="D17" s="135" t="s">
        <v>1298</v>
      </c>
      <c r="E17" s="134" t="s">
        <v>1337</v>
      </c>
      <c r="F17" s="135" t="s">
        <v>1338</v>
      </c>
    </row>
    <row r="18" spans="1:6" ht="21.75" customHeight="1" x14ac:dyDescent="0.2">
      <c r="A18" s="133" t="s">
        <v>1339</v>
      </c>
      <c r="B18" s="142" t="s">
        <v>1340</v>
      </c>
      <c r="C18" s="137" t="s">
        <v>1297</v>
      </c>
      <c r="D18" s="135" t="s">
        <v>1341</v>
      </c>
      <c r="E18" s="134" t="s">
        <v>1342</v>
      </c>
      <c r="F18" s="135" t="s">
        <v>1338</v>
      </c>
    </row>
    <row r="19" spans="1:6" ht="21.75" customHeight="1" x14ac:dyDescent="0.2">
      <c r="A19" s="133" t="s">
        <v>1343</v>
      </c>
      <c r="B19" s="142" t="s">
        <v>1344</v>
      </c>
      <c r="C19" s="137" t="s">
        <v>1297</v>
      </c>
      <c r="D19" s="135" t="s">
        <v>1341</v>
      </c>
      <c r="E19" s="134" t="s">
        <v>1342</v>
      </c>
      <c r="F19" s="135" t="s">
        <v>1338</v>
      </c>
    </row>
    <row r="20" spans="1:6" ht="21.75" customHeight="1" x14ac:dyDescent="0.2">
      <c r="A20" s="133" t="s">
        <v>1345</v>
      </c>
      <c r="B20" s="142" t="s">
        <v>1346</v>
      </c>
      <c r="C20" s="137" t="s">
        <v>1297</v>
      </c>
      <c r="D20" s="135" t="s">
        <v>1298</v>
      </c>
      <c r="E20" s="134" t="s">
        <v>1347</v>
      </c>
      <c r="F20" s="135" t="s">
        <v>1338</v>
      </c>
    </row>
    <row r="21" spans="1:6" ht="21.75" customHeight="1" x14ac:dyDescent="0.2">
      <c r="A21" s="133" t="s">
        <v>1348</v>
      </c>
      <c r="B21" s="142" t="s">
        <v>1349</v>
      </c>
      <c r="C21" s="137" t="s">
        <v>1297</v>
      </c>
      <c r="D21" s="135" t="s">
        <v>1298</v>
      </c>
      <c r="E21" s="134" t="s">
        <v>1350</v>
      </c>
      <c r="F21" s="135" t="s">
        <v>1338</v>
      </c>
    </row>
    <row r="22" spans="1:6" ht="21.75" customHeight="1" x14ac:dyDescent="0.2">
      <c r="A22" s="133" t="s">
        <v>1351</v>
      </c>
      <c r="B22" s="142" t="s">
        <v>1352</v>
      </c>
      <c r="C22" s="137" t="s">
        <v>1297</v>
      </c>
      <c r="D22" s="135" t="s">
        <v>1298</v>
      </c>
      <c r="E22" s="134" t="s">
        <v>1353</v>
      </c>
      <c r="F22" s="135" t="s">
        <v>1338</v>
      </c>
    </row>
    <row r="23" spans="1:6" ht="21.75" customHeight="1" x14ac:dyDescent="0.2">
      <c r="A23" s="133" t="s">
        <v>1354</v>
      </c>
      <c r="B23" s="142" t="s">
        <v>1355</v>
      </c>
      <c r="C23" s="137" t="s">
        <v>1297</v>
      </c>
      <c r="D23" s="135" t="s">
        <v>1298</v>
      </c>
      <c r="E23" s="134" t="s">
        <v>1356</v>
      </c>
      <c r="F23" s="135" t="s">
        <v>1338</v>
      </c>
    </row>
    <row r="24" spans="1:6" ht="21.75" customHeight="1" x14ac:dyDescent="0.2">
      <c r="A24" s="133" t="s">
        <v>1357</v>
      </c>
      <c r="B24" s="142" t="s">
        <v>1358</v>
      </c>
      <c r="C24" s="137" t="s">
        <v>1297</v>
      </c>
      <c r="D24" s="135" t="s">
        <v>1359</v>
      </c>
      <c r="E24" s="134" t="s">
        <v>1360</v>
      </c>
      <c r="F24" s="135" t="s">
        <v>1338</v>
      </c>
    </row>
    <row r="25" spans="1:6" ht="21.75" customHeight="1" x14ac:dyDescent="0.2">
      <c r="A25" s="133" t="s">
        <v>1361</v>
      </c>
      <c r="B25" s="142" t="s">
        <v>1362</v>
      </c>
      <c r="C25" s="137" t="s">
        <v>1297</v>
      </c>
      <c r="D25" s="135" t="s">
        <v>1298</v>
      </c>
      <c r="E25" s="134" t="s">
        <v>1363</v>
      </c>
      <c r="F25" s="135" t="s">
        <v>1338</v>
      </c>
    </row>
    <row r="26" spans="1:6" ht="21.75" customHeight="1" x14ac:dyDescent="0.2">
      <c r="A26" s="133" t="s">
        <v>1364</v>
      </c>
      <c r="B26" s="142" t="s">
        <v>1365</v>
      </c>
      <c r="C26" s="137" t="s">
        <v>1297</v>
      </c>
      <c r="D26" s="135" t="s">
        <v>1366</v>
      </c>
      <c r="E26" s="134" t="s">
        <v>1367</v>
      </c>
      <c r="F26" s="135" t="s">
        <v>1338</v>
      </c>
    </row>
    <row r="27" spans="1:6" ht="21.75" customHeight="1" x14ac:dyDescent="0.2">
      <c r="A27" s="133" t="s">
        <v>1368</v>
      </c>
      <c r="B27" s="142" t="s">
        <v>1369</v>
      </c>
      <c r="C27" s="137" t="s">
        <v>1297</v>
      </c>
      <c r="D27" s="135" t="s">
        <v>1370</v>
      </c>
      <c r="E27" s="134" t="s">
        <v>1371</v>
      </c>
      <c r="F27" s="135" t="s">
        <v>1338</v>
      </c>
    </row>
    <row r="28" spans="1:6" ht="21.75" customHeight="1" x14ac:dyDescent="0.2">
      <c r="A28" s="133" t="s">
        <v>1372</v>
      </c>
      <c r="B28" s="142" t="s">
        <v>1373</v>
      </c>
      <c r="C28" s="137" t="s">
        <v>1297</v>
      </c>
      <c r="D28" s="135" t="s">
        <v>1374</v>
      </c>
      <c r="E28" s="134" t="s">
        <v>390</v>
      </c>
      <c r="F28" s="135" t="s">
        <v>1338</v>
      </c>
    </row>
    <row r="29" spans="1:6" ht="21.75" customHeight="1" x14ac:dyDescent="0.2">
      <c r="A29" s="128" t="s">
        <v>1375</v>
      </c>
      <c r="B29" s="139" t="s">
        <v>1376</v>
      </c>
      <c r="C29" s="132" t="s">
        <v>1297</v>
      </c>
      <c r="D29" s="130" t="s">
        <v>1298</v>
      </c>
      <c r="E29" s="129" t="s">
        <v>1377</v>
      </c>
      <c r="F29" s="130" t="s">
        <v>1378</v>
      </c>
    </row>
    <row r="30" spans="1:6" ht="21.75" customHeight="1" x14ac:dyDescent="0.2">
      <c r="A30" s="128" t="s">
        <v>1379</v>
      </c>
      <c r="B30" s="139" t="s">
        <v>1380</v>
      </c>
      <c r="C30" s="132" t="s">
        <v>1297</v>
      </c>
      <c r="D30" s="130" t="s">
        <v>1381</v>
      </c>
      <c r="E30" s="129" t="s">
        <v>1382</v>
      </c>
      <c r="F30" s="130" t="s">
        <v>1378</v>
      </c>
    </row>
    <row r="31" spans="1:6" ht="21.75" customHeight="1" x14ac:dyDescent="0.2">
      <c r="A31" s="128" t="s">
        <v>1383</v>
      </c>
      <c r="B31" s="139" t="s">
        <v>1384</v>
      </c>
      <c r="C31" s="132" t="s">
        <v>1297</v>
      </c>
      <c r="D31" s="130" t="s">
        <v>1298</v>
      </c>
      <c r="E31" s="129" t="s">
        <v>390</v>
      </c>
      <c r="F31" s="130" t="s">
        <v>1378</v>
      </c>
    </row>
    <row r="32" spans="1:6" ht="21.75" customHeight="1" x14ac:dyDescent="0.2">
      <c r="A32" s="128" t="s">
        <v>1385</v>
      </c>
      <c r="B32" s="139" t="s">
        <v>1386</v>
      </c>
      <c r="C32" s="132" t="s">
        <v>1297</v>
      </c>
      <c r="D32" s="130" t="s">
        <v>1298</v>
      </c>
      <c r="E32" s="129" t="s">
        <v>390</v>
      </c>
      <c r="F32" s="130" t="s">
        <v>1378</v>
      </c>
    </row>
    <row r="33" spans="1:6" ht="21.75" customHeight="1" x14ac:dyDescent="0.2">
      <c r="A33" s="128" t="s">
        <v>1387</v>
      </c>
      <c r="B33" s="139" t="s">
        <v>1388</v>
      </c>
      <c r="C33" s="132" t="s">
        <v>1297</v>
      </c>
      <c r="D33" s="130" t="s">
        <v>1298</v>
      </c>
      <c r="E33" s="129" t="s">
        <v>390</v>
      </c>
      <c r="F33" s="130" t="s">
        <v>1378</v>
      </c>
    </row>
    <row r="34" spans="1:6" ht="21.75" customHeight="1" x14ac:dyDescent="0.2">
      <c r="A34" s="128" t="s">
        <v>1389</v>
      </c>
      <c r="B34" s="139" t="s">
        <v>1390</v>
      </c>
      <c r="C34" s="132" t="s">
        <v>1297</v>
      </c>
      <c r="D34" s="130" t="s">
        <v>1298</v>
      </c>
      <c r="E34" s="129" t="s">
        <v>390</v>
      </c>
      <c r="F34" s="130" t="s">
        <v>1378</v>
      </c>
    </row>
    <row r="35" spans="1:6" ht="21.75" customHeight="1" x14ac:dyDescent="0.2">
      <c r="A35" s="128" t="s">
        <v>1391</v>
      </c>
      <c r="B35" s="139" t="s">
        <v>1392</v>
      </c>
      <c r="C35" s="132" t="s">
        <v>1297</v>
      </c>
      <c r="D35" s="130" t="s">
        <v>1298</v>
      </c>
      <c r="E35" s="129" t="s">
        <v>390</v>
      </c>
      <c r="F35" s="130" t="s">
        <v>1378</v>
      </c>
    </row>
    <row r="36" spans="1:6" ht="21.75" customHeight="1" x14ac:dyDescent="0.2">
      <c r="A36" s="128" t="s">
        <v>1393</v>
      </c>
      <c r="B36" s="139" t="s">
        <v>1394</v>
      </c>
      <c r="C36" s="132" t="s">
        <v>1297</v>
      </c>
      <c r="D36" s="130" t="s">
        <v>1298</v>
      </c>
      <c r="E36" s="129" t="s">
        <v>390</v>
      </c>
      <c r="F36" s="130" t="s">
        <v>1378</v>
      </c>
    </row>
    <row r="37" spans="1:6" ht="21.75" customHeight="1" x14ac:dyDescent="0.2">
      <c r="A37" s="128" t="s">
        <v>1395</v>
      </c>
      <c r="B37" s="139" t="s">
        <v>1396</v>
      </c>
      <c r="C37" s="132" t="s">
        <v>1297</v>
      </c>
      <c r="D37" s="130" t="s">
        <v>1298</v>
      </c>
      <c r="E37" s="129" t="s">
        <v>390</v>
      </c>
      <c r="F37" s="130" t="s">
        <v>1378</v>
      </c>
    </row>
    <row r="38" spans="1:6" ht="21.75" customHeight="1" x14ac:dyDescent="0.2">
      <c r="A38" s="133" t="s">
        <v>1397</v>
      </c>
      <c r="B38" s="142" t="s">
        <v>1398</v>
      </c>
      <c r="C38" s="137" t="s">
        <v>1297</v>
      </c>
      <c r="D38" s="135" t="s">
        <v>1298</v>
      </c>
      <c r="E38" s="134" t="s">
        <v>1399</v>
      </c>
      <c r="F38" s="135" t="s">
        <v>1400</v>
      </c>
    </row>
    <row r="39" spans="1:6" ht="21.75" customHeight="1" x14ac:dyDescent="0.2">
      <c r="A39" s="133" t="s">
        <v>1401</v>
      </c>
      <c r="B39" s="142" t="s">
        <v>1402</v>
      </c>
      <c r="C39" s="137" t="s">
        <v>1297</v>
      </c>
      <c r="D39" s="135" t="s">
        <v>1298</v>
      </c>
      <c r="E39" s="134" t="s">
        <v>1403</v>
      </c>
      <c r="F39" s="135" t="s">
        <v>1400</v>
      </c>
    </row>
    <row r="40" spans="1:6" ht="21.75" customHeight="1" x14ac:dyDescent="0.2">
      <c r="A40" s="133" t="s">
        <v>1404</v>
      </c>
      <c r="B40" s="142" t="s">
        <v>1405</v>
      </c>
      <c r="C40" s="137" t="s">
        <v>1297</v>
      </c>
      <c r="D40" s="135" t="s">
        <v>1298</v>
      </c>
      <c r="E40" s="134" t="s">
        <v>1406</v>
      </c>
      <c r="F40" s="135" t="s">
        <v>1400</v>
      </c>
    </row>
    <row r="41" spans="1:6" ht="21.75" customHeight="1" x14ac:dyDescent="0.2">
      <c r="A41" s="133" t="s">
        <v>1407</v>
      </c>
      <c r="B41" s="142" t="s">
        <v>1408</v>
      </c>
      <c r="C41" s="137" t="s">
        <v>1297</v>
      </c>
      <c r="D41" s="135" t="s">
        <v>1298</v>
      </c>
      <c r="E41" s="134" t="s">
        <v>1409</v>
      </c>
      <c r="F41" s="135" t="s">
        <v>1400</v>
      </c>
    </row>
    <row r="42" spans="1:6" ht="21.75" customHeight="1" x14ac:dyDescent="0.2">
      <c r="A42" s="133" t="s">
        <v>1410</v>
      </c>
      <c r="B42" s="142" t="s">
        <v>1411</v>
      </c>
      <c r="C42" s="137" t="s">
        <v>1297</v>
      </c>
      <c r="D42" s="135" t="s">
        <v>1298</v>
      </c>
      <c r="E42" s="134" t="s">
        <v>1399</v>
      </c>
      <c r="F42" s="135" t="s">
        <v>1400</v>
      </c>
    </row>
    <row r="43" spans="1:6" ht="21.75" customHeight="1" x14ac:dyDescent="0.2">
      <c r="A43" s="133" t="s">
        <v>1412</v>
      </c>
      <c r="B43" s="142" t="s">
        <v>1413</v>
      </c>
      <c r="C43" s="137" t="s">
        <v>1297</v>
      </c>
      <c r="D43" s="135" t="s">
        <v>1414</v>
      </c>
      <c r="E43" s="134" t="s">
        <v>1399</v>
      </c>
      <c r="F43" s="135" t="s">
        <v>1400</v>
      </c>
    </row>
    <row r="44" spans="1:6" ht="21.75" customHeight="1" x14ac:dyDescent="0.2">
      <c r="A44" s="133" t="s">
        <v>1415</v>
      </c>
      <c r="B44" s="142" t="s">
        <v>1416</v>
      </c>
      <c r="C44" s="137" t="s">
        <v>1297</v>
      </c>
      <c r="D44" s="135" t="s">
        <v>1417</v>
      </c>
      <c r="E44" s="134" t="s">
        <v>1406</v>
      </c>
      <c r="F44" s="135" t="s">
        <v>1400</v>
      </c>
    </row>
    <row r="45" spans="1:6" ht="21.75" customHeight="1" x14ac:dyDescent="0.2">
      <c r="A45" s="133" t="s">
        <v>1418</v>
      </c>
      <c r="B45" s="142" t="s">
        <v>1419</v>
      </c>
      <c r="C45" s="137" t="s">
        <v>1297</v>
      </c>
      <c r="D45" s="135" t="s">
        <v>1417</v>
      </c>
      <c r="E45" s="134" t="s">
        <v>1420</v>
      </c>
      <c r="F45" s="135" t="s">
        <v>1400</v>
      </c>
    </row>
    <row r="46" spans="1:6" ht="21.75" customHeight="1" x14ac:dyDescent="0.2">
      <c r="A46" s="133" t="s">
        <v>1421</v>
      </c>
      <c r="B46" s="142" t="s">
        <v>1422</v>
      </c>
      <c r="C46" s="137" t="s">
        <v>1297</v>
      </c>
      <c r="D46" s="135" t="s">
        <v>1423</v>
      </c>
      <c r="E46" s="134" t="s">
        <v>1424</v>
      </c>
      <c r="F46" s="135" t="s">
        <v>1400</v>
      </c>
    </row>
    <row r="47" spans="1:6" ht="21.75" customHeight="1" x14ac:dyDescent="0.2">
      <c r="A47" s="133" t="s">
        <v>1425</v>
      </c>
      <c r="B47" s="142" t="s">
        <v>1426</v>
      </c>
      <c r="C47" s="137" t="s">
        <v>1297</v>
      </c>
      <c r="D47" s="135" t="s">
        <v>1427</v>
      </c>
      <c r="E47" s="134" t="s">
        <v>1428</v>
      </c>
      <c r="F47" s="135" t="s">
        <v>1400</v>
      </c>
    </row>
    <row r="48" spans="1:6" ht="21.75" customHeight="1" x14ac:dyDescent="0.2">
      <c r="A48" s="133" t="s">
        <v>1429</v>
      </c>
      <c r="B48" s="142" t="s">
        <v>1430</v>
      </c>
      <c r="C48" s="137" t="s">
        <v>1297</v>
      </c>
      <c r="D48" s="135" t="s">
        <v>1431</v>
      </c>
      <c r="E48" s="134" t="s">
        <v>1432</v>
      </c>
      <c r="F48" s="135" t="s">
        <v>1400</v>
      </c>
    </row>
    <row r="49" spans="1:6" ht="21.75" customHeight="1" x14ac:dyDescent="0.2">
      <c r="A49" s="128" t="s">
        <v>1433</v>
      </c>
      <c r="B49" s="139" t="s">
        <v>1434</v>
      </c>
      <c r="C49" s="132" t="s">
        <v>1297</v>
      </c>
      <c r="D49" s="130" t="s">
        <v>1298</v>
      </c>
      <c r="E49" s="129" t="s">
        <v>1435</v>
      </c>
      <c r="F49" s="130" t="s">
        <v>1436</v>
      </c>
    </row>
    <row r="50" spans="1:6" ht="21.75" customHeight="1" x14ac:dyDescent="0.2">
      <c r="A50" s="128" t="s">
        <v>1437</v>
      </c>
      <c r="B50" s="139" t="s">
        <v>1438</v>
      </c>
      <c r="C50" s="132" t="s">
        <v>1297</v>
      </c>
      <c r="D50" s="130" t="s">
        <v>1298</v>
      </c>
      <c r="E50" s="129" t="s">
        <v>1439</v>
      </c>
      <c r="F50" s="130" t="s">
        <v>1436</v>
      </c>
    </row>
    <row r="51" spans="1:6" ht="21.75" customHeight="1" x14ac:dyDescent="0.2">
      <c r="A51" s="128" t="s">
        <v>1440</v>
      </c>
      <c r="B51" s="139" t="s">
        <v>1441</v>
      </c>
      <c r="C51" s="132" t="s">
        <v>1297</v>
      </c>
      <c r="D51" s="130" t="s">
        <v>1298</v>
      </c>
      <c r="E51" s="129" t="s">
        <v>1442</v>
      </c>
      <c r="F51" s="130" t="s">
        <v>1436</v>
      </c>
    </row>
    <row r="52" spans="1:6" ht="21.75" customHeight="1" x14ac:dyDescent="0.2">
      <c r="A52" s="128" t="s">
        <v>1443</v>
      </c>
      <c r="B52" s="139" t="s">
        <v>1444</v>
      </c>
      <c r="C52" s="132" t="s">
        <v>1297</v>
      </c>
      <c r="D52" s="130" t="s">
        <v>1298</v>
      </c>
      <c r="E52" s="129" t="s">
        <v>1445</v>
      </c>
      <c r="F52" s="130" t="s">
        <v>1436</v>
      </c>
    </row>
    <row r="53" spans="1:6" ht="21.75" customHeight="1" x14ac:dyDescent="0.2">
      <c r="A53" s="128" t="s">
        <v>1446</v>
      </c>
      <c r="B53" s="139" t="s">
        <v>471</v>
      </c>
      <c r="C53" s="132" t="s">
        <v>1297</v>
      </c>
      <c r="D53" s="130" t="s">
        <v>1298</v>
      </c>
      <c r="E53" s="129" t="s">
        <v>1447</v>
      </c>
      <c r="F53" s="130" t="s">
        <v>1436</v>
      </c>
    </row>
    <row r="54" spans="1:6" ht="21.75" customHeight="1" x14ac:dyDescent="0.2">
      <c r="A54" s="128" t="s">
        <v>1448</v>
      </c>
      <c r="B54" s="139" t="s">
        <v>1449</v>
      </c>
      <c r="C54" s="132" t="s">
        <v>1297</v>
      </c>
      <c r="D54" s="130" t="s">
        <v>1298</v>
      </c>
      <c r="E54" s="129" t="s">
        <v>1450</v>
      </c>
      <c r="F54" s="130" t="s">
        <v>1436</v>
      </c>
    </row>
    <row r="55" spans="1:6" ht="21.75" customHeight="1" x14ac:dyDescent="0.2">
      <c r="A55" s="128" t="s">
        <v>1451</v>
      </c>
      <c r="B55" s="139" t="s">
        <v>1452</v>
      </c>
      <c r="C55" s="132" t="s">
        <v>1297</v>
      </c>
      <c r="D55" s="130" t="s">
        <v>1298</v>
      </c>
      <c r="E55" s="129" t="s">
        <v>1453</v>
      </c>
      <c r="F55" s="130" t="s">
        <v>1436</v>
      </c>
    </row>
    <row r="56" spans="1:6" ht="21.75" customHeight="1" x14ac:dyDescent="0.2">
      <c r="A56" s="128" t="s">
        <v>1454</v>
      </c>
      <c r="B56" s="139" t="s">
        <v>1455</v>
      </c>
      <c r="C56" s="132" t="s">
        <v>1297</v>
      </c>
      <c r="D56" s="130" t="s">
        <v>1298</v>
      </c>
      <c r="E56" s="129" t="s">
        <v>1456</v>
      </c>
      <c r="F56" s="130" t="s">
        <v>1436</v>
      </c>
    </row>
    <row r="57" spans="1:6" ht="21.75" customHeight="1" x14ac:dyDescent="0.2">
      <c r="A57" s="128" t="s">
        <v>1457</v>
      </c>
      <c r="B57" s="139" t="s">
        <v>1458</v>
      </c>
      <c r="C57" s="132" t="s">
        <v>1297</v>
      </c>
      <c r="D57" s="130" t="s">
        <v>1459</v>
      </c>
      <c r="E57" s="129" t="s">
        <v>1460</v>
      </c>
      <c r="F57" s="130" t="s">
        <v>1436</v>
      </c>
    </row>
    <row r="58" spans="1:6" ht="21.75" customHeight="1" x14ac:dyDescent="0.2">
      <c r="A58" s="128" t="s">
        <v>1461</v>
      </c>
      <c r="B58" s="139" t="s">
        <v>1462</v>
      </c>
      <c r="C58" s="132" t="s">
        <v>1297</v>
      </c>
      <c r="D58" s="130" t="s">
        <v>1463</v>
      </c>
      <c r="E58" s="129" t="s">
        <v>1399</v>
      </c>
      <c r="F58" s="130" t="s">
        <v>1436</v>
      </c>
    </row>
    <row r="59" spans="1:6" ht="21.75" customHeight="1" x14ac:dyDescent="0.2">
      <c r="A59" s="128" t="s">
        <v>1464</v>
      </c>
      <c r="B59" s="139" t="s">
        <v>1465</v>
      </c>
      <c r="C59" s="132" t="s">
        <v>1297</v>
      </c>
      <c r="D59" s="130" t="s">
        <v>1466</v>
      </c>
      <c r="E59" s="129" t="s">
        <v>1447</v>
      </c>
      <c r="F59" s="130" t="s">
        <v>1436</v>
      </c>
    </row>
    <row r="60" spans="1:6" ht="21.75" customHeight="1" x14ac:dyDescent="0.2">
      <c r="A60" s="128" t="s">
        <v>1467</v>
      </c>
      <c r="B60" s="139" t="s">
        <v>1468</v>
      </c>
      <c r="C60" s="132" t="s">
        <v>1297</v>
      </c>
      <c r="D60" s="130" t="s">
        <v>1469</v>
      </c>
      <c r="E60" s="129" t="s">
        <v>1435</v>
      </c>
      <c r="F60" s="130" t="s">
        <v>1436</v>
      </c>
    </row>
    <row r="61" spans="1:6" ht="21.75" customHeight="1" x14ac:dyDescent="0.2">
      <c r="A61" s="128" t="s">
        <v>1470</v>
      </c>
      <c r="B61" s="139" t="s">
        <v>1471</v>
      </c>
      <c r="C61" s="132" t="s">
        <v>1297</v>
      </c>
      <c r="D61" s="130" t="s">
        <v>1472</v>
      </c>
      <c r="E61" s="129" t="s">
        <v>1473</v>
      </c>
      <c r="F61" s="130" t="s">
        <v>1436</v>
      </c>
    </row>
    <row r="62" spans="1:6" ht="21.75" customHeight="1" x14ac:dyDescent="0.2">
      <c r="A62" s="133" t="s">
        <v>1474</v>
      </c>
      <c r="B62" s="142" t="s">
        <v>1475</v>
      </c>
      <c r="C62" s="137" t="s">
        <v>1297</v>
      </c>
      <c r="D62" s="135" t="s">
        <v>1298</v>
      </c>
      <c r="E62" s="134" t="s">
        <v>1476</v>
      </c>
      <c r="F62" s="135" t="s">
        <v>1477</v>
      </c>
    </row>
    <row r="63" spans="1:6" ht="21.75" customHeight="1" x14ac:dyDescent="0.2">
      <c r="A63" s="133" t="s">
        <v>1478</v>
      </c>
      <c r="B63" s="142" t="s">
        <v>1479</v>
      </c>
      <c r="C63" s="137" t="s">
        <v>1297</v>
      </c>
      <c r="D63" s="135" t="s">
        <v>1298</v>
      </c>
      <c r="E63" s="134" t="s">
        <v>1480</v>
      </c>
      <c r="F63" s="135" t="s">
        <v>1477</v>
      </c>
    </row>
    <row r="64" spans="1:6" ht="21.75" customHeight="1" x14ac:dyDescent="0.2">
      <c r="A64" s="133" t="s">
        <v>1481</v>
      </c>
      <c r="B64" s="142" t="s">
        <v>1482</v>
      </c>
      <c r="C64" s="137" t="s">
        <v>1297</v>
      </c>
      <c r="D64" s="135" t="s">
        <v>1298</v>
      </c>
      <c r="E64" s="134" t="s">
        <v>1483</v>
      </c>
      <c r="F64" s="135" t="s">
        <v>1477</v>
      </c>
    </row>
    <row r="65" spans="1:6" ht="21.75" customHeight="1" x14ac:dyDescent="0.2">
      <c r="A65" s="133" t="s">
        <v>1484</v>
      </c>
      <c r="B65" s="142" t="s">
        <v>1485</v>
      </c>
      <c r="C65" s="137" t="s">
        <v>1297</v>
      </c>
      <c r="D65" s="135" t="s">
        <v>1298</v>
      </c>
      <c r="E65" s="134" t="s">
        <v>1486</v>
      </c>
      <c r="F65" s="135" t="s">
        <v>1477</v>
      </c>
    </row>
    <row r="66" spans="1:6" ht="21.75" customHeight="1" x14ac:dyDescent="0.2">
      <c r="A66" s="133" t="s">
        <v>1487</v>
      </c>
      <c r="B66" s="142" t="s">
        <v>1488</v>
      </c>
      <c r="C66" s="137" t="s">
        <v>1297</v>
      </c>
      <c r="D66" s="135" t="s">
        <v>1298</v>
      </c>
      <c r="E66" s="134" t="s">
        <v>1489</v>
      </c>
      <c r="F66" s="135" t="s">
        <v>1477</v>
      </c>
    </row>
    <row r="67" spans="1:6" ht="21.75" customHeight="1" x14ac:dyDescent="0.2">
      <c r="A67" s="133" t="s">
        <v>1490</v>
      </c>
      <c r="B67" s="142" t="s">
        <v>1491</v>
      </c>
      <c r="C67" s="137" t="s">
        <v>1297</v>
      </c>
      <c r="D67" s="135" t="s">
        <v>1298</v>
      </c>
      <c r="E67" s="134" t="s">
        <v>1492</v>
      </c>
      <c r="F67" s="135" t="s">
        <v>1477</v>
      </c>
    </row>
    <row r="68" spans="1:6" ht="21.75" customHeight="1" x14ac:dyDescent="0.2">
      <c r="A68" s="133" t="s">
        <v>1493</v>
      </c>
      <c r="B68" s="142" t="s">
        <v>1494</v>
      </c>
      <c r="C68" s="137" t="s">
        <v>1297</v>
      </c>
      <c r="D68" s="135" t="s">
        <v>1298</v>
      </c>
      <c r="E68" s="134" t="s">
        <v>1495</v>
      </c>
      <c r="F68" s="135" t="s">
        <v>1477</v>
      </c>
    </row>
    <row r="69" spans="1:6" ht="21.75" customHeight="1" x14ac:dyDescent="0.2">
      <c r="A69" s="133" t="s">
        <v>1496</v>
      </c>
      <c r="B69" s="142" t="s">
        <v>1497</v>
      </c>
      <c r="C69" s="137" t="s">
        <v>1297</v>
      </c>
      <c r="D69" s="135" t="s">
        <v>1498</v>
      </c>
      <c r="E69" s="134" t="s">
        <v>1499</v>
      </c>
      <c r="F69" s="135" t="s">
        <v>1477</v>
      </c>
    </row>
    <row r="70" spans="1:6" ht="21.75" customHeight="1" x14ac:dyDescent="0.2">
      <c r="A70" s="133" t="s">
        <v>1500</v>
      </c>
      <c r="B70" s="142" t="s">
        <v>1501</v>
      </c>
      <c r="C70" s="137" t="s">
        <v>1297</v>
      </c>
      <c r="D70" s="135" t="s">
        <v>1298</v>
      </c>
      <c r="E70" s="134" t="s">
        <v>1502</v>
      </c>
      <c r="F70" s="135" t="s">
        <v>1477</v>
      </c>
    </row>
    <row r="71" spans="1:6" ht="21.75" customHeight="1" x14ac:dyDescent="0.2">
      <c r="A71" s="133" t="s">
        <v>1503</v>
      </c>
      <c r="B71" s="142" t="s">
        <v>1504</v>
      </c>
      <c r="C71" s="137" t="s">
        <v>1297</v>
      </c>
      <c r="D71" s="135" t="s">
        <v>1505</v>
      </c>
      <c r="E71" s="134" t="s">
        <v>1476</v>
      </c>
      <c r="F71" s="135" t="s">
        <v>1477</v>
      </c>
    </row>
    <row r="72" spans="1:6" ht="21.75" customHeight="1" x14ac:dyDescent="0.2">
      <c r="A72" s="133" t="s">
        <v>1506</v>
      </c>
      <c r="B72" s="142" t="s">
        <v>1507</v>
      </c>
      <c r="C72" s="137" t="s">
        <v>1297</v>
      </c>
      <c r="D72" s="135" t="s">
        <v>1508</v>
      </c>
      <c r="E72" s="134" t="s">
        <v>1509</v>
      </c>
      <c r="F72" s="135" t="s">
        <v>1477</v>
      </c>
    </row>
    <row r="73" spans="1:6" ht="21.75" customHeight="1" x14ac:dyDescent="0.2">
      <c r="A73" s="133" t="s">
        <v>1510</v>
      </c>
      <c r="B73" s="142" t="s">
        <v>1511</v>
      </c>
      <c r="C73" s="137" t="s">
        <v>1297</v>
      </c>
      <c r="D73" s="135" t="s">
        <v>1512</v>
      </c>
      <c r="E73" s="134" t="s">
        <v>1513</v>
      </c>
      <c r="F73" s="135" t="s">
        <v>1477</v>
      </c>
    </row>
    <row r="74" spans="1:6" ht="21.75" customHeight="1" x14ac:dyDescent="0.2">
      <c r="A74" s="133" t="s">
        <v>1514</v>
      </c>
      <c r="B74" s="142" t="s">
        <v>1515</v>
      </c>
      <c r="C74" s="137" t="s">
        <v>1297</v>
      </c>
      <c r="D74" s="135" t="s">
        <v>1298</v>
      </c>
      <c r="E74" s="134" t="s">
        <v>1516</v>
      </c>
      <c r="F74" s="135" t="s">
        <v>1477</v>
      </c>
    </row>
    <row r="75" spans="1:6" ht="21.75" customHeight="1" x14ac:dyDescent="0.2">
      <c r="A75" s="133" t="s">
        <v>1517</v>
      </c>
      <c r="B75" s="142" t="s">
        <v>1518</v>
      </c>
      <c r="C75" s="137" t="s">
        <v>1297</v>
      </c>
      <c r="D75" s="135" t="s">
        <v>1298</v>
      </c>
      <c r="E75" s="134" t="s">
        <v>1519</v>
      </c>
      <c r="F75" s="135" t="s">
        <v>1477</v>
      </c>
    </row>
    <row r="76" spans="1:6" ht="21.75" customHeight="1" x14ac:dyDescent="0.2">
      <c r="A76" s="133" t="s">
        <v>1520</v>
      </c>
      <c r="B76" s="142" t="s">
        <v>1521</v>
      </c>
      <c r="C76" s="137" t="s">
        <v>1297</v>
      </c>
      <c r="D76" s="135" t="s">
        <v>1522</v>
      </c>
      <c r="E76" s="134" t="s">
        <v>1523</v>
      </c>
      <c r="F76" s="135" t="s">
        <v>1477</v>
      </c>
    </row>
    <row r="77" spans="1:6" ht="21.75" customHeight="1" x14ac:dyDescent="0.2">
      <c r="A77" s="133" t="s">
        <v>1524</v>
      </c>
      <c r="B77" s="142" t="s">
        <v>1525</v>
      </c>
      <c r="C77" s="137" t="s">
        <v>1297</v>
      </c>
      <c r="D77" s="135" t="s">
        <v>1298</v>
      </c>
      <c r="E77" s="134" t="s">
        <v>1526</v>
      </c>
      <c r="F77" s="135" t="s">
        <v>1477</v>
      </c>
    </row>
    <row r="78" spans="1:6" ht="21.75" customHeight="1" x14ac:dyDescent="0.2">
      <c r="A78" s="133" t="s">
        <v>1527</v>
      </c>
      <c r="B78" s="142" t="s">
        <v>1528</v>
      </c>
      <c r="C78" s="137" t="s">
        <v>1297</v>
      </c>
      <c r="D78" s="135" t="s">
        <v>1298</v>
      </c>
      <c r="E78" s="134" t="s">
        <v>1483</v>
      </c>
      <c r="F78" s="135" t="s">
        <v>1477</v>
      </c>
    </row>
    <row r="79" spans="1:6" ht="21.75" customHeight="1" x14ac:dyDescent="0.2">
      <c r="A79" s="128" t="s">
        <v>1529</v>
      </c>
      <c r="B79" s="139" t="s">
        <v>1530</v>
      </c>
      <c r="C79" s="132" t="s">
        <v>1297</v>
      </c>
      <c r="D79" s="130" t="s">
        <v>1298</v>
      </c>
      <c r="E79" s="129" t="s">
        <v>1531</v>
      </c>
      <c r="F79" s="130" t="s">
        <v>1532</v>
      </c>
    </row>
    <row r="80" spans="1:6" ht="21.75" customHeight="1" x14ac:dyDescent="0.2">
      <c r="A80" s="128" t="s">
        <v>1533</v>
      </c>
      <c r="B80" s="139" t="s">
        <v>1534</v>
      </c>
      <c r="C80" s="132" t="s">
        <v>1297</v>
      </c>
      <c r="D80" s="130" t="s">
        <v>1298</v>
      </c>
      <c r="E80" s="129" t="s">
        <v>1535</v>
      </c>
      <c r="F80" s="130" t="s">
        <v>1532</v>
      </c>
    </row>
    <row r="81" spans="1:6" ht="21.75" customHeight="1" x14ac:dyDescent="0.2">
      <c r="A81" s="128" t="s">
        <v>1536</v>
      </c>
      <c r="B81" s="139" t="s">
        <v>1537</v>
      </c>
      <c r="C81" s="132" t="s">
        <v>1297</v>
      </c>
      <c r="D81" s="130" t="s">
        <v>1298</v>
      </c>
      <c r="E81" s="129" t="s">
        <v>1538</v>
      </c>
      <c r="F81" s="130" t="s">
        <v>1532</v>
      </c>
    </row>
    <row r="82" spans="1:6" ht="21.75" customHeight="1" x14ac:dyDescent="0.2">
      <c r="A82" s="128" t="s">
        <v>1539</v>
      </c>
      <c r="B82" s="139" t="s">
        <v>1540</v>
      </c>
      <c r="C82" s="132" t="s">
        <v>1297</v>
      </c>
      <c r="D82" s="130" t="s">
        <v>1298</v>
      </c>
      <c r="E82" s="129" t="s">
        <v>1541</v>
      </c>
      <c r="F82" s="130" t="s">
        <v>1532</v>
      </c>
    </row>
    <row r="83" spans="1:6" ht="21.75" customHeight="1" x14ac:dyDescent="0.2">
      <c r="A83" s="128" t="s">
        <v>1542</v>
      </c>
      <c r="B83" s="139" t="s">
        <v>1543</v>
      </c>
      <c r="C83" s="132" t="s">
        <v>1297</v>
      </c>
      <c r="D83" s="130" t="s">
        <v>1298</v>
      </c>
      <c r="E83" s="129" t="s">
        <v>1544</v>
      </c>
      <c r="F83" s="130" t="s">
        <v>1532</v>
      </c>
    </row>
    <row r="84" spans="1:6" ht="21.75" customHeight="1" x14ac:dyDescent="0.2">
      <c r="A84" s="128" t="s">
        <v>1545</v>
      </c>
      <c r="B84" s="139" t="s">
        <v>1546</v>
      </c>
      <c r="C84" s="132" t="s">
        <v>1297</v>
      </c>
      <c r="D84" s="130" t="s">
        <v>1298</v>
      </c>
      <c r="E84" s="129" t="s">
        <v>1547</v>
      </c>
      <c r="F84" s="130" t="s">
        <v>1532</v>
      </c>
    </row>
    <row r="85" spans="1:6" ht="21.75" customHeight="1" x14ac:dyDescent="0.2">
      <c r="A85" s="128" t="s">
        <v>1548</v>
      </c>
      <c r="B85" s="139" t="s">
        <v>1549</v>
      </c>
      <c r="C85" s="132" t="s">
        <v>1297</v>
      </c>
      <c r="D85" s="130" t="s">
        <v>1298</v>
      </c>
      <c r="E85" s="129" t="s">
        <v>1550</v>
      </c>
      <c r="F85" s="130" t="s">
        <v>1532</v>
      </c>
    </row>
    <row r="86" spans="1:6" ht="21.75" customHeight="1" x14ac:dyDescent="0.2">
      <c r="A86" s="128" t="s">
        <v>1551</v>
      </c>
      <c r="B86" s="139" t="s">
        <v>1552</v>
      </c>
      <c r="C86" s="132" t="s">
        <v>1297</v>
      </c>
      <c r="D86" s="130" t="s">
        <v>1553</v>
      </c>
      <c r="E86" s="129" t="s">
        <v>1554</v>
      </c>
      <c r="F86" s="130" t="s">
        <v>1532</v>
      </c>
    </row>
    <row r="87" spans="1:6" ht="21.75" customHeight="1" x14ac:dyDescent="0.2">
      <c r="A87" s="128" t="s">
        <v>1555</v>
      </c>
      <c r="B87" s="139" t="s">
        <v>1556</v>
      </c>
      <c r="C87" s="132" t="s">
        <v>1297</v>
      </c>
      <c r="D87" s="130" t="s">
        <v>1298</v>
      </c>
      <c r="E87" s="129" t="s">
        <v>1557</v>
      </c>
      <c r="F87" s="130" t="s">
        <v>1532</v>
      </c>
    </row>
    <row r="88" spans="1:6" ht="21.75" customHeight="1" x14ac:dyDescent="0.2">
      <c r="A88" s="128" t="s">
        <v>1558</v>
      </c>
      <c r="B88" s="139" t="s">
        <v>1559</v>
      </c>
      <c r="C88" s="132" t="s">
        <v>1297</v>
      </c>
      <c r="D88" s="130" t="s">
        <v>1298</v>
      </c>
      <c r="E88" s="129" t="s">
        <v>1560</v>
      </c>
      <c r="F88" s="130" t="s">
        <v>1532</v>
      </c>
    </row>
    <row r="89" spans="1:6" ht="21.75" customHeight="1" x14ac:dyDescent="0.2">
      <c r="A89" s="128" t="s">
        <v>1561</v>
      </c>
      <c r="B89" s="139" t="s">
        <v>1562</v>
      </c>
      <c r="C89" s="132" t="s">
        <v>1297</v>
      </c>
      <c r="D89" s="130" t="s">
        <v>1563</v>
      </c>
      <c r="E89" s="129" t="s">
        <v>1564</v>
      </c>
      <c r="F89" s="130" t="s">
        <v>1532</v>
      </c>
    </row>
    <row r="90" spans="1:6" ht="21.75" customHeight="1" x14ac:dyDescent="0.2">
      <c r="A90" s="128" t="s">
        <v>1565</v>
      </c>
      <c r="B90" s="139" t="s">
        <v>1566</v>
      </c>
      <c r="C90" s="132" t="s">
        <v>1297</v>
      </c>
      <c r="D90" s="130" t="s">
        <v>1567</v>
      </c>
      <c r="E90" s="129" t="s">
        <v>1568</v>
      </c>
      <c r="F90" s="130" t="s">
        <v>1532</v>
      </c>
    </row>
    <row r="91" spans="1:6" ht="21.75" customHeight="1" x14ac:dyDescent="0.2">
      <c r="A91" s="128" t="s">
        <v>1569</v>
      </c>
      <c r="B91" s="139" t="s">
        <v>1570</v>
      </c>
      <c r="C91" s="132" t="s">
        <v>1297</v>
      </c>
      <c r="D91" s="130" t="s">
        <v>1571</v>
      </c>
      <c r="E91" s="129" t="s">
        <v>1531</v>
      </c>
      <c r="F91" s="130" t="s">
        <v>1532</v>
      </c>
    </row>
    <row r="92" spans="1:6" ht="21.75" customHeight="1" x14ac:dyDescent="0.2">
      <c r="A92" s="128" t="s">
        <v>1572</v>
      </c>
      <c r="B92" s="139" t="s">
        <v>1573</v>
      </c>
      <c r="C92" s="132" t="s">
        <v>1297</v>
      </c>
      <c r="D92" s="130" t="s">
        <v>1574</v>
      </c>
      <c r="E92" s="129" t="s">
        <v>1575</v>
      </c>
      <c r="F92" s="130" t="s">
        <v>1532</v>
      </c>
    </row>
    <row r="93" spans="1:6" ht="21.75" customHeight="1" x14ac:dyDescent="0.2">
      <c r="A93" s="128" t="s">
        <v>1576</v>
      </c>
      <c r="B93" s="139" t="s">
        <v>1577</v>
      </c>
      <c r="C93" s="132" t="s">
        <v>1297</v>
      </c>
      <c r="D93" s="130" t="s">
        <v>1574</v>
      </c>
      <c r="E93" s="129" t="s">
        <v>1578</v>
      </c>
      <c r="F93" s="130" t="s">
        <v>1532</v>
      </c>
    </row>
    <row r="94" spans="1:6" ht="21.75" customHeight="1" x14ac:dyDescent="0.2">
      <c r="A94" s="128" t="s">
        <v>1579</v>
      </c>
      <c r="B94" s="139" t="s">
        <v>1580</v>
      </c>
      <c r="C94" s="132" t="s">
        <v>1297</v>
      </c>
      <c r="D94" s="130" t="s">
        <v>1571</v>
      </c>
      <c r="E94" s="129" t="s">
        <v>1568</v>
      </c>
      <c r="F94" s="130" t="s">
        <v>1532</v>
      </c>
    </row>
    <row r="95" spans="1:6" ht="21.75" customHeight="1" x14ac:dyDescent="0.2">
      <c r="A95" s="128" t="s">
        <v>1581</v>
      </c>
      <c r="B95" s="139" t="s">
        <v>1582</v>
      </c>
      <c r="C95" s="132" t="s">
        <v>1297</v>
      </c>
      <c r="D95" s="130" t="s">
        <v>1583</v>
      </c>
      <c r="E95" s="129" t="s">
        <v>1584</v>
      </c>
      <c r="F95" s="130" t="s">
        <v>1532</v>
      </c>
    </row>
    <row r="96" spans="1:6" ht="21.75" customHeight="1" x14ac:dyDescent="0.2">
      <c r="A96" s="128" t="s">
        <v>1585</v>
      </c>
      <c r="B96" s="139" t="s">
        <v>1586</v>
      </c>
      <c r="C96" s="132" t="s">
        <v>1297</v>
      </c>
      <c r="D96" s="130" t="s">
        <v>1512</v>
      </c>
      <c r="E96" s="129" t="s">
        <v>1538</v>
      </c>
      <c r="F96" s="130" t="s">
        <v>1532</v>
      </c>
    </row>
    <row r="97" spans="1:6" ht="21.75" customHeight="1" x14ac:dyDescent="0.2">
      <c r="A97" s="128" t="s">
        <v>1587</v>
      </c>
      <c r="B97" s="139" t="s">
        <v>1588</v>
      </c>
      <c r="C97" s="132" t="s">
        <v>1297</v>
      </c>
      <c r="D97" s="130" t="s">
        <v>1298</v>
      </c>
      <c r="E97" s="129" t="s">
        <v>1589</v>
      </c>
      <c r="F97" s="130" t="s">
        <v>1532</v>
      </c>
    </row>
    <row r="98" spans="1:6" ht="21.75" customHeight="1" x14ac:dyDescent="0.2">
      <c r="A98" s="128" t="s">
        <v>1590</v>
      </c>
      <c r="B98" s="139" t="s">
        <v>1591</v>
      </c>
      <c r="C98" s="132" t="s">
        <v>1297</v>
      </c>
      <c r="D98" s="130" t="s">
        <v>1298</v>
      </c>
      <c r="E98" s="129" t="s">
        <v>1592</v>
      </c>
      <c r="F98" s="130" t="s">
        <v>1532</v>
      </c>
    </row>
    <row r="99" spans="1:6" ht="21.75" customHeight="1" x14ac:dyDescent="0.2">
      <c r="A99" s="128" t="s">
        <v>1593</v>
      </c>
      <c r="B99" s="139" t="s">
        <v>1594</v>
      </c>
      <c r="C99" s="132" t="s">
        <v>1297</v>
      </c>
      <c r="D99" s="130" t="s">
        <v>1298</v>
      </c>
      <c r="E99" s="129" t="s">
        <v>1538</v>
      </c>
      <c r="F99" s="130" t="s">
        <v>1532</v>
      </c>
    </row>
    <row r="100" spans="1:6" ht="21.75" customHeight="1" x14ac:dyDescent="0.2">
      <c r="A100" s="128" t="s">
        <v>1595</v>
      </c>
      <c r="B100" s="139" t="s">
        <v>1596</v>
      </c>
      <c r="C100" s="132" t="s">
        <v>1297</v>
      </c>
      <c r="D100" s="130" t="s">
        <v>1298</v>
      </c>
      <c r="E100" s="129" t="s">
        <v>1538</v>
      </c>
      <c r="F100" s="130" t="s">
        <v>1532</v>
      </c>
    </row>
    <row r="101" spans="1:6" ht="21.75" customHeight="1" x14ac:dyDescent="0.2">
      <c r="A101" s="128" t="s">
        <v>1597</v>
      </c>
      <c r="B101" s="139" t="s">
        <v>1598</v>
      </c>
      <c r="C101" s="132" t="s">
        <v>1297</v>
      </c>
      <c r="D101" s="130" t="s">
        <v>1298</v>
      </c>
      <c r="E101" s="129" t="s">
        <v>1589</v>
      </c>
      <c r="F101" s="130" t="s">
        <v>1532</v>
      </c>
    </row>
    <row r="102" spans="1:6" ht="21.75" customHeight="1" x14ac:dyDescent="0.2">
      <c r="A102" s="133" t="s">
        <v>1599</v>
      </c>
      <c r="B102" s="142" t="s">
        <v>1600</v>
      </c>
      <c r="C102" s="137" t="s">
        <v>1297</v>
      </c>
      <c r="D102" s="135" t="s">
        <v>1298</v>
      </c>
      <c r="E102" s="134" t="s">
        <v>1601</v>
      </c>
      <c r="F102" s="135" t="s">
        <v>1602</v>
      </c>
    </row>
    <row r="103" spans="1:6" ht="21.75" customHeight="1" x14ac:dyDescent="0.2">
      <c r="A103" s="133" t="s">
        <v>1603</v>
      </c>
      <c r="B103" s="142" t="s">
        <v>1604</v>
      </c>
      <c r="C103" s="137" t="s">
        <v>1297</v>
      </c>
      <c r="D103" s="135" t="s">
        <v>1298</v>
      </c>
      <c r="E103" s="134" t="s">
        <v>1605</v>
      </c>
      <c r="F103" s="135" t="s">
        <v>1602</v>
      </c>
    </row>
    <row r="104" spans="1:6" ht="21.75" customHeight="1" x14ac:dyDescent="0.2">
      <c r="A104" s="133" t="s">
        <v>1606</v>
      </c>
      <c r="B104" s="142" t="s">
        <v>1607</v>
      </c>
      <c r="C104" s="137" t="s">
        <v>1297</v>
      </c>
      <c r="D104" s="135" t="s">
        <v>1298</v>
      </c>
      <c r="E104" s="134" t="s">
        <v>1608</v>
      </c>
      <c r="F104" s="135" t="s">
        <v>1602</v>
      </c>
    </row>
    <row r="105" spans="1:6" ht="21.75" customHeight="1" x14ac:dyDescent="0.2">
      <c r="A105" s="133" t="s">
        <v>1609</v>
      </c>
      <c r="B105" s="142" t="s">
        <v>1610</v>
      </c>
      <c r="C105" s="137" t="s">
        <v>1297</v>
      </c>
      <c r="D105" s="135" t="s">
        <v>1298</v>
      </c>
      <c r="E105" s="134" t="s">
        <v>1611</v>
      </c>
      <c r="F105" s="135" t="s">
        <v>1602</v>
      </c>
    </row>
    <row r="106" spans="1:6" ht="21.75" customHeight="1" x14ac:dyDescent="0.2">
      <c r="A106" s="133" t="s">
        <v>1612</v>
      </c>
      <c r="B106" s="142" t="s">
        <v>1613</v>
      </c>
      <c r="C106" s="137" t="s">
        <v>1297</v>
      </c>
      <c r="D106" s="135" t="s">
        <v>1298</v>
      </c>
      <c r="E106" s="134" t="s">
        <v>1614</v>
      </c>
      <c r="F106" s="135" t="s">
        <v>1602</v>
      </c>
    </row>
    <row r="107" spans="1:6" ht="21.75" customHeight="1" x14ac:dyDescent="0.2">
      <c r="A107" s="133" t="s">
        <v>1615</v>
      </c>
      <c r="B107" s="142" t="s">
        <v>1616</v>
      </c>
      <c r="C107" s="137" t="s">
        <v>1297</v>
      </c>
      <c r="D107" s="135" t="s">
        <v>1298</v>
      </c>
      <c r="E107" s="134" t="s">
        <v>1617</v>
      </c>
      <c r="F107" s="135" t="s">
        <v>1602</v>
      </c>
    </row>
    <row r="108" spans="1:6" ht="21.75" customHeight="1" x14ac:dyDescent="0.2">
      <c r="A108" s="133" t="s">
        <v>1618</v>
      </c>
      <c r="B108" s="142" t="s">
        <v>1619</v>
      </c>
      <c r="C108" s="137" t="s">
        <v>1297</v>
      </c>
      <c r="D108" s="135" t="s">
        <v>1620</v>
      </c>
      <c r="E108" s="134" t="s">
        <v>1608</v>
      </c>
      <c r="F108" s="135" t="s">
        <v>1602</v>
      </c>
    </row>
    <row r="109" spans="1:6" ht="21.75" customHeight="1" x14ac:dyDescent="0.2">
      <c r="A109" s="133" t="s">
        <v>1621</v>
      </c>
      <c r="B109" s="142" t="s">
        <v>1622</v>
      </c>
      <c r="C109" s="137" t="s">
        <v>1297</v>
      </c>
      <c r="D109" s="135" t="s">
        <v>1620</v>
      </c>
      <c r="E109" s="134" t="s">
        <v>1623</v>
      </c>
      <c r="F109" s="135" t="s">
        <v>1602</v>
      </c>
    </row>
    <row r="110" spans="1:6" ht="21.75" customHeight="1" x14ac:dyDescent="0.2">
      <c r="A110" s="133" t="s">
        <v>1624</v>
      </c>
      <c r="B110" s="142" t="s">
        <v>1625</v>
      </c>
      <c r="C110" s="137" t="s">
        <v>1297</v>
      </c>
      <c r="D110" s="135" t="s">
        <v>1620</v>
      </c>
      <c r="E110" s="134" t="s">
        <v>1626</v>
      </c>
      <c r="F110" s="135" t="s">
        <v>1602</v>
      </c>
    </row>
    <row r="111" spans="1:6" ht="21.75" customHeight="1" x14ac:dyDescent="0.2">
      <c r="A111" s="133" t="s">
        <v>1627</v>
      </c>
      <c r="B111" s="142" t="s">
        <v>1628</v>
      </c>
      <c r="C111" s="137" t="s">
        <v>1297</v>
      </c>
      <c r="D111" s="135" t="s">
        <v>1629</v>
      </c>
      <c r="E111" s="134" t="s">
        <v>1630</v>
      </c>
      <c r="F111" s="135" t="s">
        <v>1602</v>
      </c>
    </row>
    <row r="112" spans="1:6" ht="21.75" customHeight="1" x14ac:dyDescent="0.2">
      <c r="A112" s="133" t="s">
        <v>1631</v>
      </c>
      <c r="B112" s="142" t="s">
        <v>1632</v>
      </c>
      <c r="C112" s="137" t="s">
        <v>1297</v>
      </c>
      <c r="D112" s="135" t="s">
        <v>1629</v>
      </c>
      <c r="E112" s="134" t="s">
        <v>1630</v>
      </c>
      <c r="F112" s="135" t="s">
        <v>1602</v>
      </c>
    </row>
    <row r="113" spans="1:6" ht="21.75" customHeight="1" x14ac:dyDescent="0.2">
      <c r="A113" s="133" t="s">
        <v>1633</v>
      </c>
      <c r="B113" s="142" t="s">
        <v>1634</v>
      </c>
      <c r="C113" s="137" t="s">
        <v>1297</v>
      </c>
      <c r="D113" s="135" t="s">
        <v>1635</v>
      </c>
      <c r="E113" s="134" t="s">
        <v>1636</v>
      </c>
      <c r="F113" s="135" t="s">
        <v>1602</v>
      </c>
    </row>
    <row r="114" spans="1:6" ht="21.75" customHeight="1" x14ac:dyDescent="0.2">
      <c r="A114" s="133" t="s">
        <v>1637</v>
      </c>
      <c r="B114" s="142" t="s">
        <v>1638</v>
      </c>
      <c r="C114" s="137" t="s">
        <v>1297</v>
      </c>
      <c r="D114" s="135" t="s">
        <v>1620</v>
      </c>
      <c r="E114" s="134" t="s">
        <v>1639</v>
      </c>
      <c r="F114" s="135" t="s">
        <v>1602</v>
      </c>
    </row>
    <row r="115" spans="1:6" ht="21.75" customHeight="1" x14ac:dyDescent="0.2">
      <c r="A115" s="133" t="s">
        <v>1640</v>
      </c>
      <c r="B115" s="142" t="s">
        <v>1641</v>
      </c>
      <c r="C115" s="137" t="s">
        <v>1297</v>
      </c>
      <c r="D115" s="135" t="s">
        <v>1642</v>
      </c>
      <c r="E115" s="134" t="s">
        <v>1643</v>
      </c>
      <c r="F115" s="135" t="s">
        <v>1602</v>
      </c>
    </row>
    <row r="116" spans="1:6" ht="21.75" customHeight="1" x14ac:dyDescent="0.2">
      <c r="A116" s="133" t="s">
        <v>1644</v>
      </c>
      <c r="B116" s="142" t="s">
        <v>1645</v>
      </c>
      <c r="C116" s="137" t="s">
        <v>1297</v>
      </c>
      <c r="D116" s="135" t="s">
        <v>1574</v>
      </c>
      <c r="E116" s="134" t="s">
        <v>1646</v>
      </c>
      <c r="F116" s="135" t="s">
        <v>1602</v>
      </c>
    </row>
    <row r="117" spans="1:6" ht="21.75" customHeight="1" x14ac:dyDescent="0.2">
      <c r="A117" s="133" t="s">
        <v>1647</v>
      </c>
      <c r="B117" s="142" t="s">
        <v>1648</v>
      </c>
      <c r="C117" s="137" t="s">
        <v>1297</v>
      </c>
      <c r="D117" s="135" t="s">
        <v>1649</v>
      </c>
      <c r="E117" s="134" t="s">
        <v>1650</v>
      </c>
      <c r="F117" s="135" t="s">
        <v>1602</v>
      </c>
    </row>
    <row r="118" spans="1:6" ht="21.75" customHeight="1" x14ac:dyDescent="0.2">
      <c r="A118" s="133" t="s">
        <v>1651</v>
      </c>
      <c r="B118" s="142" t="s">
        <v>1652</v>
      </c>
      <c r="C118" s="137" t="s">
        <v>1297</v>
      </c>
      <c r="D118" s="135" t="s">
        <v>1298</v>
      </c>
      <c r="E118" s="134" t="s">
        <v>1601</v>
      </c>
      <c r="F118" s="135" t="s">
        <v>1602</v>
      </c>
    </row>
    <row r="119" spans="1:6" ht="21.75" customHeight="1" x14ac:dyDescent="0.2">
      <c r="A119" s="133" t="s">
        <v>1653</v>
      </c>
      <c r="B119" s="142" t="s">
        <v>1654</v>
      </c>
      <c r="C119" s="137" t="s">
        <v>1297</v>
      </c>
      <c r="D119" s="135" t="s">
        <v>1655</v>
      </c>
      <c r="E119" s="134" t="s">
        <v>1608</v>
      </c>
      <c r="F119" s="135" t="s">
        <v>1602</v>
      </c>
    </row>
    <row r="120" spans="1:6" ht="21.75" customHeight="1" x14ac:dyDescent="0.2">
      <c r="A120" s="128" t="s">
        <v>1656</v>
      </c>
      <c r="B120" s="139" t="s">
        <v>1657</v>
      </c>
      <c r="C120" s="132" t="s">
        <v>1297</v>
      </c>
      <c r="D120" s="130" t="s">
        <v>1298</v>
      </c>
      <c r="E120" s="129" t="s">
        <v>1658</v>
      </c>
      <c r="F120" s="130" t="s">
        <v>1659</v>
      </c>
    </row>
    <row r="121" spans="1:6" ht="21.75" customHeight="1" x14ac:dyDescent="0.2">
      <c r="A121" s="128" t="s">
        <v>1660</v>
      </c>
      <c r="B121" s="139" t="s">
        <v>1661</v>
      </c>
      <c r="C121" s="132" t="s">
        <v>1297</v>
      </c>
      <c r="D121" s="130" t="s">
        <v>1298</v>
      </c>
      <c r="E121" s="129" t="s">
        <v>861</v>
      </c>
      <c r="F121" s="130" t="s">
        <v>1659</v>
      </c>
    </row>
    <row r="122" spans="1:6" ht="21.75" customHeight="1" x14ac:dyDescent="0.2">
      <c r="A122" s="128" t="s">
        <v>1662</v>
      </c>
      <c r="B122" s="139" t="s">
        <v>1663</v>
      </c>
      <c r="C122" s="132" t="s">
        <v>1297</v>
      </c>
      <c r="D122" s="130" t="s">
        <v>1298</v>
      </c>
      <c r="E122" s="129" t="s">
        <v>1623</v>
      </c>
      <c r="F122" s="130" t="s">
        <v>1659</v>
      </c>
    </row>
    <row r="123" spans="1:6" ht="21.75" customHeight="1" x14ac:dyDescent="0.2">
      <c r="A123" s="128" t="s">
        <v>1664</v>
      </c>
      <c r="B123" s="139" t="s">
        <v>1665</v>
      </c>
      <c r="C123" s="132" t="s">
        <v>1297</v>
      </c>
      <c r="D123" s="130" t="s">
        <v>1298</v>
      </c>
      <c r="E123" s="129" t="s">
        <v>1666</v>
      </c>
      <c r="F123" s="130" t="s">
        <v>1659</v>
      </c>
    </row>
    <row r="124" spans="1:6" ht="21.75" customHeight="1" x14ac:dyDescent="0.2">
      <c r="A124" s="128" t="s">
        <v>1667</v>
      </c>
      <c r="B124" s="139" t="s">
        <v>1668</v>
      </c>
      <c r="C124" s="132" t="s">
        <v>1297</v>
      </c>
      <c r="D124" s="130" t="s">
        <v>1298</v>
      </c>
      <c r="E124" s="129" t="s">
        <v>1669</v>
      </c>
      <c r="F124" s="130" t="s">
        <v>1659</v>
      </c>
    </row>
    <row r="125" spans="1:6" ht="21.75" customHeight="1" x14ac:dyDescent="0.2">
      <c r="A125" s="128" t="s">
        <v>1670</v>
      </c>
      <c r="B125" s="139" t="s">
        <v>1671</v>
      </c>
      <c r="C125" s="132" t="s">
        <v>1297</v>
      </c>
      <c r="D125" s="130" t="s">
        <v>1672</v>
      </c>
      <c r="E125" s="129" t="s">
        <v>1673</v>
      </c>
      <c r="F125" s="130" t="s">
        <v>1659</v>
      </c>
    </row>
    <row r="126" spans="1:6" ht="21.75" customHeight="1" x14ac:dyDescent="0.2">
      <c r="A126" s="128" t="s">
        <v>1674</v>
      </c>
      <c r="B126" s="139" t="s">
        <v>1675</v>
      </c>
      <c r="C126" s="132" t="s">
        <v>1297</v>
      </c>
      <c r="D126" s="130" t="s">
        <v>1676</v>
      </c>
      <c r="E126" s="129" t="s">
        <v>1677</v>
      </c>
      <c r="F126" s="130" t="s">
        <v>1659</v>
      </c>
    </row>
    <row r="127" spans="1:6" ht="21.75" customHeight="1" x14ac:dyDescent="0.2">
      <c r="A127" s="128" t="s">
        <v>1678</v>
      </c>
      <c r="B127" s="139" t="s">
        <v>1679</v>
      </c>
      <c r="C127" s="132" t="s">
        <v>1297</v>
      </c>
      <c r="D127" s="130" t="s">
        <v>1298</v>
      </c>
      <c r="E127" s="129" t="s">
        <v>1680</v>
      </c>
      <c r="F127" s="130" t="s">
        <v>1659</v>
      </c>
    </row>
    <row r="128" spans="1:6" ht="21.75" customHeight="1" x14ac:dyDescent="0.2">
      <c r="A128" s="128" t="s">
        <v>1681</v>
      </c>
      <c r="B128" s="139" t="s">
        <v>1682</v>
      </c>
      <c r="C128" s="132" t="s">
        <v>1297</v>
      </c>
      <c r="D128" s="130" t="s">
        <v>1298</v>
      </c>
      <c r="E128" s="129" t="s">
        <v>1658</v>
      </c>
      <c r="F128" s="130" t="s">
        <v>1659</v>
      </c>
    </row>
    <row r="129" spans="1:6" ht="21.75" customHeight="1" x14ac:dyDescent="0.2">
      <c r="A129" s="128" t="s">
        <v>1683</v>
      </c>
      <c r="B129" s="139" t="s">
        <v>1684</v>
      </c>
      <c r="C129" s="132" t="s">
        <v>1297</v>
      </c>
      <c r="D129" s="130" t="s">
        <v>1685</v>
      </c>
      <c r="E129" s="129" t="s">
        <v>1658</v>
      </c>
      <c r="F129" s="130" t="s">
        <v>1659</v>
      </c>
    </row>
    <row r="130" spans="1:6" ht="21.75" customHeight="1" x14ac:dyDescent="0.2">
      <c r="A130" s="128" t="s">
        <v>1686</v>
      </c>
      <c r="B130" s="139" t="s">
        <v>1687</v>
      </c>
      <c r="C130" s="132" t="s">
        <v>1297</v>
      </c>
      <c r="D130" s="130" t="s">
        <v>1512</v>
      </c>
      <c r="E130" s="129" t="s">
        <v>1688</v>
      </c>
      <c r="F130" s="130" t="s">
        <v>1659</v>
      </c>
    </row>
    <row r="131" spans="1:6" ht="21.75" customHeight="1" x14ac:dyDescent="0.2">
      <c r="A131" s="128" t="s">
        <v>1689</v>
      </c>
      <c r="B131" s="139" t="s">
        <v>1690</v>
      </c>
      <c r="C131" s="132" t="s">
        <v>1297</v>
      </c>
      <c r="D131" s="130" t="s">
        <v>1512</v>
      </c>
      <c r="E131" s="129" t="s">
        <v>1492</v>
      </c>
      <c r="F131" s="130" t="s">
        <v>1659</v>
      </c>
    </row>
    <row r="132" spans="1:6" ht="21.75" customHeight="1" x14ac:dyDescent="0.2">
      <c r="A132" s="128" t="s">
        <v>1691</v>
      </c>
      <c r="B132" s="139" t="s">
        <v>1692</v>
      </c>
      <c r="C132" s="132" t="s">
        <v>1297</v>
      </c>
      <c r="D132" s="130" t="s">
        <v>1574</v>
      </c>
      <c r="E132" s="129" t="s">
        <v>1492</v>
      </c>
      <c r="F132" s="130" t="s">
        <v>1659</v>
      </c>
    </row>
    <row r="133" spans="1:6" ht="21.75" customHeight="1" x14ac:dyDescent="0.2">
      <c r="A133" s="128" t="s">
        <v>1693</v>
      </c>
      <c r="B133" s="139" t="s">
        <v>1694</v>
      </c>
      <c r="C133" s="132" t="s">
        <v>1297</v>
      </c>
      <c r="D133" s="130" t="s">
        <v>1574</v>
      </c>
      <c r="E133" s="129" t="s">
        <v>1492</v>
      </c>
      <c r="F133" s="130" t="s">
        <v>1659</v>
      </c>
    </row>
    <row r="134" spans="1:6" ht="21.75" customHeight="1" x14ac:dyDescent="0.2">
      <c r="A134" s="128" t="s">
        <v>1695</v>
      </c>
      <c r="B134" s="139" t="s">
        <v>1696</v>
      </c>
      <c r="C134" s="132" t="s">
        <v>1297</v>
      </c>
      <c r="D134" s="130" t="s">
        <v>1574</v>
      </c>
      <c r="E134" s="129" t="s">
        <v>1697</v>
      </c>
      <c r="F134" s="130" t="s">
        <v>1659</v>
      </c>
    </row>
    <row r="135" spans="1:6" ht="21.75" customHeight="1" x14ac:dyDescent="0.2">
      <c r="A135" s="128" t="s">
        <v>1698</v>
      </c>
      <c r="B135" s="139" t="s">
        <v>1699</v>
      </c>
      <c r="C135" s="132" t="s">
        <v>1297</v>
      </c>
      <c r="D135" s="130" t="s">
        <v>1574</v>
      </c>
      <c r="E135" s="129" t="s">
        <v>1700</v>
      </c>
      <c r="F135" s="130" t="s">
        <v>1659</v>
      </c>
    </row>
    <row r="136" spans="1:6" ht="21.75" customHeight="1" x14ac:dyDescent="0.2">
      <c r="A136" s="128" t="s">
        <v>1701</v>
      </c>
      <c r="B136" s="139" t="s">
        <v>1702</v>
      </c>
      <c r="C136" s="132" t="s">
        <v>1297</v>
      </c>
      <c r="D136" s="130" t="s">
        <v>1574</v>
      </c>
      <c r="E136" s="129" t="s">
        <v>1703</v>
      </c>
      <c r="F136" s="130" t="s">
        <v>1659</v>
      </c>
    </row>
    <row r="137" spans="1:6" ht="21.75" customHeight="1" x14ac:dyDescent="0.2">
      <c r="A137" s="128" t="s">
        <v>1704</v>
      </c>
      <c r="B137" s="139" t="s">
        <v>1705</v>
      </c>
      <c r="C137" s="132" t="s">
        <v>1297</v>
      </c>
      <c r="D137" s="130" t="s">
        <v>1574</v>
      </c>
      <c r="E137" s="129" t="s">
        <v>1492</v>
      </c>
      <c r="F137" s="130" t="s">
        <v>1659</v>
      </c>
    </row>
    <row r="138" spans="1:6" ht="21.75" customHeight="1" x14ac:dyDescent="0.2">
      <c r="A138" s="128" t="s">
        <v>1706</v>
      </c>
      <c r="B138" s="139" t="s">
        <v>1707</v>
      </c>
      <c r="C138" s="132" t="s">
        <v>1297</v>
      </c>
      <c r="D138" s="130" t="s">
        <v>1298</v>
      </c>
      <c r="E138" s="129" t="s">
        <v>1708</v>
      </c>
      <c r="F138" s="130" t="s">
        <v>1659</v>
      </c>
    </row>
    <row r="139" spans="1:6" ht="21.75" customHeight="1" x14ac:dyDescent="0.2">
      <c r="A139" s="128" t="s">
        <v>1709</v>
      </c>
      <c r="B139" s="139" t="s">
        <v>1710</v>
      </c>
      <c r="C139" s="132" t="s">
        <v>1297</v>
      </c>
      <c r="D139" s="130" t="s">
        <v>1711</v>
      </c>
      <c r="E139" s="129" t="s">
        <v>1658</v>
      </c>
      <c r="F139" s="130" t="s">
        <v>1659</v>
      </c>
    </row>
    <row r="140" spans="1:6" ht="21.75" customHeight="1" x14ac:dyDescent="0.2">
      <c r="A140" s="128" t="s">
        <v>1712</v>
      </c>
      <c r="B140" s="139" t="s">
        <v>1713</v>
      </c>
      <c r="C140" s="132" t="s">
        <v>1297</v>
      </c>
      <c r="D140" s="130" t="s">
        <v>1574</v>
      </c>
      <c r="E140" s="129" t="s">
        <v>1714</v>
      </c>
      <c r="F140" s="130" t="s">
        <v>1659</v>
      </c>
    </row>
    <row r="141" spans="1:6" ht="21.75" customHeight="1" x14ac:dyDescent="0.2">
      <c r="A141" s="128" t="s">
        <v>1715</v>
      </c>
      <c r="B141" s="139" t="s">
        <v>1716</v>
      </c>
      <c r="C141" s="132" t="s">
        <v>1297</v>
      </c>
      <c r="D141" s="130" t="s">
        <v>1574</v>
      </c>
      <c r="E141" s="129" t="s">
        <v>1658</v>
      </c>
      <c r="F141" s="130" t="s">
        <v>1659</v>
      </c>
    </row>
    <row r="142" spans="1:6" ht="21.75" customHeight="1" x14ac:dyDescent="0.2">
      <c r="A142" s="133" t="s">
        <v>1717</v>
      </c>
      <c r="B142" s="142" t="s">
        <v>1718</v>
      </c>
      <c r="C142" s="137" t="s">
        <v>1297</v>
      </c>
      <c r="D142" s="135" t="s">
        <v>1298</v>
      </c>
      <c r="E142" s="134" t="s">
        <v>1719</v>
      </c>
      <c r="F142" s="135" t="s">
        <v>1720</v>
      </c>
    </row>
    <row r="143" spans="1:6" ht="21.75" customHeight="1" x14ac:dyDescent="0.2">
      <c r="A143" s="133" t="s">
        <v>1721</v>
      </c>
      <c r="B143" s="142" t="s">
        <v>1722</v>
      </c>
      <c r="C143" s="137" t="s">
        <v>1297</v>
      </c>
      <c r="D143" s="135" t="s">
        <v>1298</v>
      </c>
      <c r="E143" s="134" t="s">
        <v>1723</v>
      </c>
      <c r="F143" s="135" t="s">
        <v>1720</v>
      </c>
    </row>
    <row r="144" spans="1:6" ht="21.75" customHeight="1" x14ac:dyDescent="0.2">
      <c r="A144" s="133" t="s">
        <v>1724</v>
      </c>
      <c r="B144" s="142" t="s">
        <v>1725</v>
      </c>
      <c r="C144" s="137" t="s">
        <v>1297</v>
      </c>
      <c r="D144" s="135" t="s">
        <v>1298</v>
      </c>
      <c r="E144" s="134" t="s">
        <v>1726</v>
      </c>
      <c r="F144" s="135" t="s">
        <v>1720</v>
      </c>
    </row>
    <row r="145" spans="1:6" ht="21.75" customHeight="1" x14ac:dyDescent="0.2">
      <c r="A145" s="133" t="s">
        <v>1727</v>
      </c>
      <c r="B145" s="142" t="s">
        <v>1728</v>
      </c>
      <c r="C145" s="137" t="s">
        <v>1297</v>
      </c>
      <c r="D145" s="135" t="s">
        <v>1298</v>
      </c>
      <c r="E145" s="134" t="s">
        <v>1729</v>
      </c>
      <c r="F145" s="135" t="s">
        <v>1720</v>
      </c>
    </row>
    <row r="146" spans="1:6" ht="21.75" customHeight="1" x14ac:dyDescent="0.2">
      <c r="A146" s="133" t="s">
        <v>1730</v>
      </c>
      <c r="B146" s="142" t="s">
        <v>1731</v>
      </c>
      <c r="C146" s="137" t="s">
        <v>1297</v>
      </c>
      <c r="D146" s="135" t="s">
        <v>1298</v>
      </c>
      <c r="E146" s="134" t="s">
        <v>1732</v>
      </c>
      <c r="F146" s="135" t="s">
        <v>1720</v>
      </c>
    </row>
    <row r="147" spans="1:6" ht="21.75" customHeight="1" x14ac:dyDescent="0.2">
      <c r="A147" s="133" t="s">
        <v>1733</v>
      </c>
      <c r="B147" s="142" t="s">
        <v>1734</v>
      </c>
      <c r="C147" s="137" t="s">
        <v>1297</v>
      </c>
      <c r="D147" s="135" t="s">
        <v>1298</v>
      </c>
      <c r="E147" s="134" t="s">
        <v>1735</v>
      </c>
      <c r="F147" s="135" t="s">
        <v>1720</v>
      </c>
    </row>
    <row r="148" spans="1:6" ht="21.75" customHeight="1" x14ac:dyDescent="0.2">
      <c r="A148" s="133" t="s">
        <v>1736</v>
      </c>
      <c r="B148" s="142" t="s">
        <v>1737</v>
      </c>
      <c r="C148" s="137" t="s">
        <v>1297</v>
      </c>
      <c r="D148" s="135" t="s">
        <v>1298</v>
      </c>
      <c r="E148" s="134" t="s">
        <v>1738</v>
      </c>
      <c r="F148" s="135" t="s">
        <v>1720</v>
      </c>
    </row>
    <row r="149" spans="1:6" ht="21.75" customHeight="1" x14ac:dyDescent="0.2">
      <c r="A149" s="133" t="s">
        <v>1739</v>
      </c>
      <c r="B149" s="142" t="s">
        <v>1740</v>
      </c>
      <c r="C149" s="137" t="s">
        <v>1297</v>
      </c>
      <c r="D149" s="135" t="s">
        <v>1298</v>
      </c>
      <c r="E149" s="134" t="s">
        <v>1741</v>
      </c>
      <c r="F149" s="135" t="s">
        <v>1720</v>
      </c>
    </row>
    <row r="150" spans="1:6" ht="21.75" customHeight="1" x14ac:dyDescent="0.2">
      <c r="A150" s="133" t="s">
        <v>1742</v>
      </c>
      <c r="B150" s="142" t="s">
        <v>1743</v>
      </c>
      <c r="C150" s="137" t="s">
        <v>1297</v>
      </c>
      <c r="D150" s="135" t="s">
        <v>1298</v>
      </c>
      <c r="E150" s="134" t="s">
        <v>1744</v>
      </c>
      <c r="F150" s="135" t="s">
        <v>1720</v>
      </c>
    </row>
    <row r="151" spans="1:6" ht="21.75" customHeight="1" x14ac:dyDescent="0.2">
      <c r="A151" s="133" t="s">
        <v>1745</v>
      </c>
      <c r="B151" s="142" t="s">
        <v>1746</v>
      </c>
      <c r="C151" s="137" t="s">
        <v>1297</v>
      </c>
      <c r="D151" s="135" t="s">
        <v>1298</v>
      </c>
      <c r="E151" s="134" t="s">
        <v>1747</v>
      </c>
      <c r="F151" s="135" t="s">
        <v>1720</v>
      </c>
    </row>
    <row r="152" spans="1:6" ht="21.75" customHeight="1" x14ac:dyDescent="0.2">
      <c r="A152" s="133" t="s">
        <v>1748</v>
      </c>
      <c r="B152" s="142" t="s">
        <v>1749</v>
      </c>
      <c r="C152" s="137" t="s">
        <v>1297</v>
      </c>
      <c r="D152" s="135" t="s">
        <v>1750</v>
      </c>
      <c r="E152" s="134" t="s">
        <v>1751</v>
      </c>
      <c r="F152" s="135" t="s">
        <v>1720</v>
      </c>
    </row>
    <row r="153" spans="1:6" ht="21.75" customHeight="1" x14ac:dyDescent="0.2">
      <c r="A153" s="133" t="s">
        <v>1752</v>
      </c>
      <c r="B153" s="142" t="s">
        <v>1753</v>
      </c>
      <c r="C153" s="137" t="s">
        <v>1297</v>
      </c>
      <c r="D153" s="135" t="s">
        <v>1571</v>
      </c>
      <c r="E153" s="134" t="s">
        <v>1754</v>
      </c>
      <c r="F153" s="135" t="s">
        <v>1720</v>
      </c>
    </row>
    <row r="154" spans="1:6" ht="21.75" customHeight="1" x14ac:dyDescent="0.2">
      <c r="A154" s="133" t="s">
        <v>1755</v>
      </c>
      <c r="B154" s="142" t="s">
        <v>1756</v>
      </c>
      <c r="C154" s="137" t="s">
        <v>1297</v>
      </c>
      <c r="D154" s="135" t="s">
        <v>1571</v>
      </c>
      <c r="E154" s="134" t="s">
        <v>1723</v>
      </c>
      <c r="F154" s="135" t="s">
        <v>1720</v>
      </c>
    </row>
    <row r="155" spans="1:6" ht="21.75" customHeight="1" x14ac:dyDescent="0.2">
      <c r="A155" s="133" t="s">
        <v>1757</v>
      </c>
      <c r="B155" s="142" t="s">
        <v>1758</v>
      </c>
      <c r="C155" s="137" t="s">
        <v>1297</v>
      </c>
      <c r="D155" s="135" t="s">
        <v>1571</v>
      </c>
      <c r="E155" s="134" t="s">
        <v>1531</v>
      </c>
      <c r="F155" s="135" t="s">
        <v>1720</v>
      </c>
    </row>
    <row r="156" spans="1:6" ht="21.75" customHeight="1" x14ac:dyDescent="0.2">
      <c r="A156" s="133" t="s">
        <v>1759</v>
      </c>
      <c r="B156" s="142" t="s">
        <v>1760</v>
      </c>
      <c r="C156" s="137" t="s">
        <v>1297</v>
      </c>
      <c r="D156" s="135" t="s">
        <v>1761</v>
      </c>
      <c r="E156" s="134" t="s">
        <v>1723</v>
      </c>
      <c r="F156" s="135" t="s">
        <v>1720</v>
      </c>
    </row>
    <row r="157" spans="1:6" ht="21.75" customHeight="1" x14ac:dyDescent="0.2">
      <c r="A157" s="133" t="s">
        <v>1762</v>
      </c>
      <c r="B157" s="142" t="s">
        <v>1763</v>
      </c>
      <c r="C157" s="137" t="s">
        <v>1297</v>
      </c>
      <c r="D157" s="135" t="s">
        <v>1571</v>
      </c>
      <c r="E157" s="134" t="s">
        <v>1764</v>
      </c>
      <c r="F157" s="135" t="s">
        <v>1720</v>
      </c>
    </row>
    <row r="158" spans="1:6" ht="21.75" customHeight="1" x14ac:dyDescent="0.2">
      <c r="A158" s="133" t="s">
        <v>1765</v>
      </c>
      <c r="B158" s="142" t="s">
        <v>1766</v>
      </c>
      <c r="C158" s="137" t="s">
        <v>1297</v>
      </c>
      <c r="D158" s="135" t="s">
        <v>1767</v>
      </c>
      <c r="E158" s="134" t="s">
        <v>1768</v>
      </c>
      <c r="F158" s="135" t="s">
        <v>1720</v>
      </c>
    </row>
    <row r="159" spans="1:6" ht="21.75" customHeight="1" x14ac:dyDescent="0.2">
      <c r="A159" s="133" t="s">
        <v>1769</v>
      </c>
      <c r="B159" s="142" t="s">
        <v>1770</v>
      </c>
      <c r="C159" s="137" t="s">
        <v>1297</v>
      </c>
      <c r="D159" s="135" t="s">
        <v>1771</v>
      </c>
      <c r="E159" s="134" t="s">
        <v>1360</v>
      </c>
      <c r="F159" s="135" t="s">
        <v>1720</v>
      </c>
    </row>
    <row r="160" spans="1:6" ht="21.75" customHeight="1" x14ac:dyDescent="0.2">
      <c r="A160" s="133" t="s">
        <v>1772</v>
      </c>
      <c r="B160" s="142" t="s">
        <v>1773</v>
      </c>
      <c r="C160" s="137" t="s">
        <v>1297</v>
      </c>
      <c r="D160" s="135" t="s">
        <v>1298</v>
      </c>
      <c r="E160" s="134" t="s">
        <v>1774</v>
      </c>
      <c r="F160" s="135" t="s">
        <v>1720</v>
      </c>
    </row>
    <row r="161" spans="1:6" ht="21.75" customHeight="1" x14ac:dyDescent="0.2">
      <c r="A161" s="133" t="s">
        <v>1775</v>
      </c>
      <c r="B161" s="142" t="s">
        <v>1776</v>
      </c>
      <c r="C161" s="137" t="s">
        <v>1297</v>
      </c>
      <c r="D161" s="135" t="s">
        <v>1298</v>
      </c>
      <c r="E161" s="134" t="s">
        <v>1777</v>
      </c>
      <c r="F161" s="135" t="s">
        <v>1720</v>
      </c>
    </row>
    <row r="162" spans="1:6" ht="21.75" customHeight="1" x14ac:dyDescent="0.2">
      <c r="A162" s="133" t="s">
        <v>1778</v>
      </c>
      <c r="B162" s="142" t="s">
        <v>1779</v>
      </c>
      <c r="C162" s="137" t="s">
        <v>1297</v>
      </c>
      <c r="D162" s="135" t="s">
        <v>1417</v>
      </c>
      <c r="E162" s="134" t="s">
        <v>1780</v>
      </c>
      <c r="F162" s="135" t="s">
        <v>1720</v>
      </c>
    </row>
    <row r="163" spans="1:6" ht="21.75" customHeight="1" x14ac:dyDescent="0.2">
      <c r="A163" s="133" t="s">
        <v>1781</v>
      </c>
      <c r="B163" s="142" t="s">
        <v>1782</v>
      </c>
      <c r="C163" s="137" t="s">
        <v>1297</v>
      </c>
      <c r="D163" s="135" t="s">
        <v>1298</v>
      </c>
      <c r="E163" s="134" t="s">
        <v>1723</v>
      </c>
      <c r="F163" s="135" t="s">
        <v>1720</v>
      </c>
    </row>
    <row r="164" spans="1:6" ht="21.75" customHeight="1" x14ac:dyDescent="0.2">
      <c r="A164" s="133" t="s">
        <v>1783</v>
      </c>
      <c r="B164" s="142" t="s">
        <v>1784</v>
      </c>
      <c r="C164" s="137" t="s">
        <v>1297</v>
      </c>
      <c r="D164" s="135" t="s">
        <v>1298</v>
      </c>
      <c r="E164" s="134" t="s">
        <v>1723</v>
      </c>
      <c r="F164" s="135" t="s">
        <v>1720</v>
      </c>
    </row>
    <row r="165" spans="1:6" ht="21.75" customHeight="1" x14ac:dyDescent="0.2">
      <c r="A165" s="128" t="s">
        <v>1785</v>
      </c>
      <c r="B165" s="139" t="s">
        <v>1786</v>
      </c>
      <c r="C165" s="132" t="s">
        <v>1297</v>
      </c>
      <c r="D165" s="130" t="s">
        <v>1298</v>
      </c>
      <c r="E165" s="129" t="s">
        <v>1787</v>
      </c>
      <c r="F165" s="130" t="s">
        <v>1788</v>
      </c>
    </row>
    <row r="166" spans="1:6" ht="21.75" customHeight="1" x14ac:dyDescent="0.2">
      <c r="A166" s="128" t="s">
        <v>1789</v>
      </c>
      <c r="B166" s="139" t="s">
        <v>1790</v>
      </c>
      <c r="C166" s="132" t="s">
        <v>1297</v>
      </c>
      <c r="D166" s="130" t="s">
        <v>1298</v>
      </c>
      <c r="E166" s="129" t="s">
        <v>1774</v>
      </c>
      <c r="F166" s="130" t="s">
        <v>1788</v>
      </c>
    </row>
    <row r="167" spans="1:6" ht="21.75" customHeight="1" x14ac:dyDescent="0.2">
      <c r="A167" s="128" t="s">
        <v>1791</v>
      </c>
      <c r="B167" s="139" t="s">
        <v>1792</v>
      </c>
      <c r="C167" s="132" t="s">
        <v>1297</v>
      </c>
      <c r="D167" s="130" t="s">
        <v>1298</v>
      </c>
      <c r="E167" s="129" t="s">
        <v>1793</v>
      </c>
      <c r="F167" s="130" t="s">
        <v>1788</v>
      </c>
    </row>
    <row r="168" spans="1:6" ht="21.75" customHeight="1" x14ac:dyDescent="0.2">
      <c r="A168" s="133" t="s">
        <v>1794</v>
      </c>
      <c r="B168" s="142" t="s">
        <v>1795</v>
      </c>
      <c r="C168" s="137" t="s">
        <v>1297</v>
      </c>
      <c r="D168" s="135" t="s">
        <v>1298</v>
      </c>
      <c r="E168" s="134" t="s">
        <v>1796</v>
      </c>
      <c r="F168" s="135" t="s">
        <v>1797</v>
      </c>
    </row>
    <row r="169" spans="1:6" ht="21.75" customHeight="1" x14ac:dyDescent="0.2">
      <c r="A169" s="133" t="s">
        <v>1798</v>
      </c>
      <c r="B169" s="142" t="s">
        <v>1799</v>
      </c>
      <c r="C169" s="137" t="s">
        <v>1297</v>
      </c>
      <c r="D169" s="135" t="s">
        <v>1298</v>
      </c>
      <c r="E169" s="134" t="s">
        <v>1800</v>
      </c>
      <c r="F169" s="135" t="s">
        <v>1797</v>
      </c>
    </row>
    <row r="170" spans="1:6" ht="21.75" customHeight="1" x14ac:dyDescent="0.2">
      <c r="A170" s="133" t="s">
        <v>1801</v>
      </c>
      <c r="B170" s="142" t="s">
        <v>1802</v>
      </c>
      <c r="C170" s="137" t="s">
        <v>1297</v>
      </c>
      <c r="D170" s="135" t="s">
        <v>1298</v>
      </c>
      <c r="E170" s="134" t="s">
        <v>1445</v>
      </c>
      <c r="F170" s="135" t="s">
        <v>1797</v>
      </c>
    </row>
    <row r="171" spans="1:6" ht="21.75" customHeight="1" x14ac:dyDescent="0.2">
      <c r="A171" s="133" t="s">
        <v>1803</v>
      </c>
      <c r="B171" s="142" t="s">
        <v>1804</v>
      </c>
      <c r="C171" s="137" t="s">
        <v>1297</v>
      </c>
      <c r="D171" s="135" t="s">
        <v>1298</v>
      </c>
      <c r="E171" s="134" t="s">
        <v>1805</v>
      </c>
      <c r="F171" s="135" t="s">
        <v>1797</v>
      </c>
    </row>
    <row r="172" spans="1:6" ht="21.75" customHeight="1" x14ac:dyDescent="0.2">
      <c r="A172" s="128" t="s">
        <v>1806</v>
      </c>
      <c r="B172" s="139" t="s">
        <v>1807</v>
      </c>
      <c r="C172" s="132" t="s">
        <v>1297</v>
      </c>
      <c r="D172" s="130" t="s">
        <v>1298</v>
      </c>
      <c r="E172" s="129" t="s">
        <v>1808</v>
      </c>
      <c r="F172" s="130" t="s">
        <v>1809</v>
      </c>
    </row>
    <row r="173" spans="1:6" ht="21.75" customHeight="1" x14ac:dyDescent="0.2">
      <c r="A173" s="128" t="s">
        <v>1810</v>
      </c>
      <c r="B173" s="139" t="s">
        <v>1811</v>
      </c>
      <c r="C173" s="132" t="s">
        <v>1297</v>
      </c>
      <c r="D173" s="130" t="s">
        <v>1574</v>
      </c>
      <c r="E173" s="129" t="s">
        <v>1812</v>
      </c>
      <c r="F173" s="130" t="s">
        <v>1809</v>
      </c>
    </row>
    <row r="174" spans="1:6" ht="21.75" customHeight="1" x14ac:dyDescent="0.2">
      <c r="A174" s="128" t="s">
        <v>1813</v>
      </c>
      <c r="B174" s="139" t="s">
        <v>1814</v>
      </c>
      <c r="C174" s="132" t="s">
        <v>1297</v>
      </c>
      <c r="D174" s="130" t="s">
        <v>1298</v>
      </c>
      <c r="E174" s="129" t="s">
        <v>1815</v>
      </c>
      <c r="F174" s="130" t="s">
        <v>1809</v>
      </c>
    </row>
    <row r="175" spans="1:6" ht="21.75" customHeight="1" x14ac:dyDescent="0.2">
      <c r="A175" s="128" t="s">
        <v>1816</v>
      </c>
      <c r="B175" s="139" t="s">
        <v>1817</v>
      </c>
      <c r="C175" s="132" t="s">
        <v>1297</v>
      </c>
      <c r="D175" s="130" t="s">
        <v>1620</v>
      </c>
      <c r="E175" s="129" t="s">
        <v>1818</v>
      </c>
      <c r="F175" s="130" t="s">
        <v>1809</v>
      </c>
    </row>
    <row r="176" spans="1:6" ht="21.75" customHeight="1" x14ac:dyDescent="0.2">
      <c r="A176" s="128" t="s">
        <v>1819</v>
      </c>
      <c r="B176" s="139" t="s">
        <v>1820</v>
      </c>
      <c r="C176" s="132" t="s">
        <v>1297</v>
      </c>
      <c r="D176" s="130" t="s">
        <v>1629</v>
      </c>
      <c r="E176" s="129" t="s">
        <v>1821</v>
      </c>
      <c r="F176" s="130" t="s">
        <v>1809</v>
      </c>
    </row>
    <row r="177" spans="1:6" ht="21.75" customHeight="1" x14ac:dyDescent="0.2">
      <c r="A177" s="128" t="s">
        <v>1822</v>
      </c>
      <c r="B177" s="139" t="s">
        <v>1823</v>
      </c>
      <c r="C177" s="132" t="s">
        <v>1297</v>
      </c>
      <c r="D177" s="130" t="s">
        <v>1463</v>
      </c>
      <c r="E177" s="129" t="s">
        <v>1824</v>
      </c>
      <c r="F177" s="130" t="s">
        <v>1809</v>
      </c>
    </row>
    <row r="178" spans="1:6" ht="21.75" customHeight="1" x14ac:dyDescent="0.2">
      <c r="A178" s="133" t="s">
        <v>1825</v>
      </c>
      <c r="B178" s="142"/>
      <c r="C178" s="137"/>
      <c r="D178" s="135"/>
      <c r="E178" s="134"/>
      <c r="F178" s="135"/>
    </row>
    <row r="179" spans="1:6" ht="21.75" customHeight="1" x14ac:dyDescent="0.2">
      <c r="A179" s="133" t="s">
        <v>1826</v>
      </c>
      <c r="B179" s="142" t="s">
        <v>1827</v>
      </c>
      <c r="C179" s="137"/>
      <c r="D179" s="135"/>
      <c r="E179" s="134"/>
      <c r="F179" s="135"/>
    </row>
    <row r="180" spans="1:6" ht="21.75" customHeight="1" x14ac:dyDescent="0.2">
      <c r="A180" s="133" t="s">
        <v>1828</v>
      </c>
      <c r="B180" s="142"/>
      <c r="C180" s="137"/>
      <c r="D180" s="135"/>
      <c r="E180" s="134"/>
      <c r="F180" s="135"/>
    </row>
    <row r="181" spans="1:6" ht="21.75" customHeight="1" x14ac:dyDescent="0.2">
      <c r="A181" s="133" t="s">
        <v>1829</v>
      </c>
      <c r="B181" s="142" t="s">
        <v>1830</v>
      </c>
      <c r="C181" s="137"/>
      <c r="D181" s="135"/>
      <c r="E181" s="134"/>
      <c r="F181" s="135"/>
    </row>
    <row r="182" spans="1:6" ht="21.75" customHeight="1" x14ac:dyDescent="0.2">
      <c r="A182" s="133" t="s">
        <v>1831</v>
      </c>
      <c r="B182" s="142" t="s">
        <v>1832</v>
      </c>
      <c r="C182" s="137"/>
      <c r="D182" s="135"/>
      <c r="E182" s="134"/>
      <c r="F182" s="135"/>
    </row>
    <row r="183" spans="1:6" ht="21.75" customHeight="1" x14ac:dyDescent="0.2">
      <c r="A183" s="133" t="s">
        <v>1833</v>
      </c>
      <c r="B183" s="142" t="s">
        <v>1834</v>
      </c>
      <c r="C183" s="137"/>
      <c r="D183" s="135"/>
      <c r="E183" s="134"/>
      <c r="F183" s="135"/>
    </row>
    <row r="184" spans="1:6" ht="21.75" customHeight="1" x14ac:dyDescent="0.2">
      <c r="A184" s="133" t="s">
        <v>1835</v>
      </c>
      <c r="B184" s="142" t="s">
        <v>1836</v>
      </c>
      <c r="C184" s="137"/>
      <c r="D184" s="135"/>
      <c r="E184" s="134"/>
      <c r="F184" s="135"/>
    </row>
    <row r="185" spans="1:6" ht="21.75" customHeight="1" x14ac:dyDescent="0.2">
      <c r="A185" s="133" t="s">
        <v>1837</v>
      </c>
      <c r="B185" s="142" t="s">
        <v>376</v>
      </c>
      <c r="C185" s="137"/>
      <c r="D185" s="135"/>
      <c r="E185" s="134"/>
      <c r="F185" s="135"/>
    </row>
    <row r="186" spans="1:6" ht="21.75" customHeight="1" x14ac:dyDescent="0.2">
      <c r="A186" s="133" t="s">
        <v>70</v>
      </c>
      <c r="B186" s="142" t="s">
        <v>1838</v>
      </c>
      <c r="C186" s="137"/>
      <c r="D186" s="135"/>
      <c r="E186" s="134"/>
      <c r="F186" s="135"/>
    </row>
    <row r="187" spans="1:6" ht="21.75" customHeight="1" x14ac:dyDescent="0.2">
      <c r="A187" s="3"/>
      <c r="B187" s="3"/>
      <c r="C187" s="3"/>
      <c r="D187" s="3"/>
      <c r="E187" s="3"/>
      <c r="F187" s="3"/>
    </row>
    <row r="188" spans="1:6" ht="21.75" customHeight="1" x14ac:dyDescent="0.2">
      <c r="A188" s="249"/>
      <c r="B188" s="3"/>
      <c r="C188" s="3"/>
      <c r="D188" s="3"/>
      <c r="E188" s="3"/>
      <c r="F188" s="3"/>
    </row>
    <row r="189" spans="1:6" ht="15" customHeight="1" x14ac:dyDescent="0.2">
      <c r="A189" s="250" t="s">
        <v>1839</v>
      </c>
      <c r="B189" s="251"/>
      <c r="C189" s="3"/>
      <c r="D189" s="3"/>
      <c r="E189" s="3"/>
      <c r="F189" s="3"/>
    </row>
    <row r="190" spans="1:6" ht="15" customHeight="1" x14ac:dyDescent="0.2">
      <c r="A190" s="252" t="s">
        <v>1294</v>
      </c>
      <c r="B190" s="253" t="s">
        <v>1840</v>
      </c>
      <c r="C190" s="3"/>
      <c r="D190" s="3"/>
      <c r="E190" s="3"/>
      <c r="F190" s="3"/>
    </row>
    <row r="191" spans="1:6" ht="15" customHeight="1" x14ac:dyDescent="0.2">
      <c r="A191" s="163" t="s">
        <v>1720</v>
      </c>
      <c r="B191" s="219">
        <f>COUNTIF(F:F,"Admin &amp; Configuration")</f>
        <v>23</v>
      </c>
      <c r="C191" s="3"/>
      <c r="D191" s="3"/>
      <c r="E191" s="3"/>
      <c r="F191" s="3"/>
    </row>
    <row r="192" spans="1:6" ht="15" customHeight="1" x14ac:dyDescent="0.2">
      <c r="A192" s="163" t="s">
        <v>1477</v>
      </c>
      <c r="B192" s="219">
        <f>COUNTIF(F:F,"Analytics &amp; Reporting")</f>
        <v>17</v>
      </c>
      <c r="C192" s="3"/>
      <c r="D192" s="3"/>
      <c r="E192" s="3"/>
      <c r="F192" s="3"/>
    </row>
    <row r="193" spans="1:6" ht="15" customHeight="1" x14ac:dyDescent="0.2">
      <c r="A193" s="163" t="s">
        <v>1300</v>
      </c>
      <c r="B193" s="219">
        <f>COUNTIF(F:F,"Authentification &amp; Sécurité")</f>
        <v>13</v>
      </c>
      <c r="C193" s="3"/>
      <c r="D193" s="3"/>
      <c r="E193" s="3"/>
      <c r="F193" s="3"/>
    </row>
    <row r="194" spans="1:6" ht="15" customHeight="1" x14ac:dyDescent="0.2">
      <c r="A194" s="163" t="s">
        <v>1338</v>
      </c>
      <c r="B194" s="219">
        <f>COUNTIF(F:F,"Content Management")</f>
        <v>12</v>
      </c>
      <c r="C194" s="3"/>
      <c r="D194" s="3"/>
      <c r="E194" s="3"/>
      <c r="F194" s="3"/>
    </row>
    <row r="195" spans="1:6" ht="15" customHeight="1" x14ac:dyDescent="0.2">
      <c r="A195" s="163" t="s">
        <v>1788</v>
      </c>
      <c r="B195" s="219">
        <f>COUNTIF(F:F,"Diffusion &amp; Playlists")</f>
        <v>3</v>
      </c>
      <c r="C195" s="3"/>
      <c r="D195" s="3"/>
      <c r="E195" s="3"/>
      <c r="F195" s="3"/>
    </row>
    <row r="196" spans="1:6" ht="15" customHeight="1" x14ac:dyDescent="0.2">
      <c r="A196" s="163" t="s">
        <v>1809</v>
      </c>
      <c r="B196" s="219">
        <f>COUNTIF(F:F,"Documentation")</f>
        <v>6</v>
      </c>
      <c r="C196" s="3"/>
      <c r="D196" s="3"/>
      <c r="E196" s="3"/>
      <c r="F196" s="3"/>
    </row>
    <row r="197" spans="1:6" ht="15" customHeight="1" x14ac:dyDescent="0.2">
      <c r="A197" s="163" t="s">
        <v>1400</v>
      </c>
      <c r="B197" s="219">
        <f>COUNTIF(F:F,"Déploiement &amp; OTA")</f>
        <v>11</v>
      </c>
      <c r="C197" s="3"/>
      <c r="D197" s="3"/>
      <c r="E197" s="3"/>
      <c r="F197" s="3"/>
    </row>
    <row r="198" spans="1:6" ht="15" customHeight="1" x14ac:dyDescent="0.2">
      <c r="A198" s="163" t="s">
        <v>1659</v>
      </c>
      <c r="B198" s="219">
        <f>COUNTIF(F:F,"Monitoring &amp; Alertes")</f>
        <v>22</v>
      </c>
      <c r="C198" s="3"/>
      <c r="D198" s="3"/>
      <c r="E198" s="3"/>
      <c r="F198" s="3"/>
    </row>
    <row r="199" spans="1:6" ht="15" customHeight="1" x14ac:dyDescent="0.2">
      <c r="A199" s="163" t="s">
        <v>1378</v>
      </c>
      <c r="B199" s="219">
        <f>COUNTIF(F:F,"Overlay &amp; Score Live")</f>
        <v>9</v>
      </c>
      <c r="C199" s="3"/>
      <c r="D199" s="3"/>
      <c r="E199" s="3"/>
      <c r="F199" s="3"/>
    </row>
    <row r="200" spans="1:6" ht="15" customHeight="1" x14ac:dyDescent="0.2">
      <c r="A200" s="163" t="s">
        <v>1532</v>
      </c>
      <c r="B200" s="219">
        <f>COUNTIF(F:F,"Raspberry Pi &amp; Edge")</f>
        <v>23</v>
      </c>
      <c r="C200" s="3"/>
      <c r="D200" s="3"/>
      <c r="E200" s="3"/>
      <c r="F200" s="3"/>
    </row>
    <row r="201" spans="1:6" ht="15" customHeight="1" x14ac:dyDescent="0.2">
      <c r="A201" s="163" t="s">
        <v>1602</v>
      </c>
      <c r="B201" s="219">
        <f>COUNTIF(F:F,"Réseau &amp; Connectivité")</f>
        <v>18</v>
      </c>
      <c r="C201" s="3"/>
      <c r="D201" s="3"/>
      <c r="E201" s="3"/>
      <c r="F201" s="3"/>
    </row>
    <row r="202" spans="1:6" ht="15" customHeight="1" x14ac:dyDescent="0.2">
      <c r="A202" s="163" t="s">
        <v>1436</v>
      </c>
      <c r="B202" s="219">
        <f>COUNTIF(F:F,"Sponsors &amp; Régie")</f>
        <v>13</v>
      </c>
      <c r="C202" s="3"/>
      <c r="D202" s="3"/>
      <c r="E202" s="3"/>
      <c r="F202" s="3"/>
    </row>
    <row r="203" spans="1:6" ht="15" customHeight="1" x14ac:dyDescent="0.2">
      <c r="A203" s="163" t="s">
        <v>1797</v>
      </c>
      <c r="B203" s="219">
        <f>COUNTIF(F:F,"Utilisateurs &amp; Rôles")</f>
        <v>4</v>
      </c>
      <c r="C203" s="3"/>
      <c r="D203" s="3"/>
      <c r="E203" s="3"/>
      <c r="F203" s="3"/>
    </row>
    <row r="204" spans="1:6" ht="15" customHeight="1" x14ac:dyDescent="0.2">
      <c r="A204" s="169" t="s">
        <v>1042</v>
      </c>
      <c r="B204" s="226">
        <f>SUM(B191:B203)</f>
        <v>174</v>
      </c>
      <c r="C204" s="3"/>
      <c r="D204" s="3"/>
      <c r="E204" s="3"/>
      <c r="F204" s="3"/>
    </row>
  </sheetData>
  <autoFilter ref="A3:F188" xr:uid="{00000000-0009-0000-0000-00000D000000}"/>
  <mergeCells count="2">
    <mergeCell ref="B1:F1"/>
    <mergeCell ref="A2:F2"/>
  </mergeCells>
  <conditionalFormatting sqref="C4:C188">
    <cfRule type="cellIs" dxfId="15" priority="5" operator="equal">
      <formula>"Terminé"</formula>
    </cfRule>
    <cfRule type="cellIs" dxfId="14" priority="6" operator="equal">
      <formula>"Livré"</formula>
    </cfRule>
    <cfRule type="cellIs" dxfId="13" priority="7" operator="equal">
      <formula>"En cours"</formula>
    </cfRule>
    <cfRule type="cellIs" dxfId="12" priority="8" operator="equal">
      <formula>"Backlog"</formula>
    </cfRule>
  </conditionalFormatting>
  <conditionalFormatting sqref="C178:C186">
    <cfRule type="cellIs" dxfId="11" priority="2" operator="equal">
      <formula>"Production"</formula>
    </cfRule>
    <cfRule type="cellIs" dxfId="10" priority="3" operator="equal">
      <formula>"Livré"</formula>
    </cfRule>
    <cfRule type="cellIs" dxfId="9" priority="4" operator="equal">
      <formula>"Partiel"</formula>
    </cfRule>
  </conditionalFormatting>
  <dataValidations count="2">
    <dataValidation type="list" allowBlank="1" sqref="C4:C188" xr:uid="{00000000-0002-0000-0D00-000000000000}">
      <formula1>"Production,Beta,Deprecated"</formula1>
      <formula2>0</formula2>
    </dataValidation>
    <dataValidation type="list" allowBlank="1" sqref="F4:F188" xr:uid="{00000000-0002-0000-0D00-000001000000}">
      <formula1>"Admin &amp; Configuration,Analytics &amp; Reporting,Authentification &amp; Sécurité,Content Management,Diffusion &amp; Playlists,Documentation,Déploiement &amp; OTA,Monitoring &amp; Alertes,Overlay &amp; Score Live,Raspberry Pi &amp; Edge,Réseau &amp; Connectivité,Sponsors &amp; Régie,Utilisate"</formula1>
      <formula2>0</formula2>
    </dataValidation>
  </dataValidations>
  <hyperlinks>
    <hyperlink ref="A1" r:id="rId1" location="Dashboard!A1" xr:uid="{00000000-0004-0000-0D00-000000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0"/>
  <sheetViews>
    <sheetView zoomScaleNormal="100" workbookViewId="0">
      <pane ySplit="4" topLeftCell="A5" activePane="bottomLeft" state="frozen"/>
      <selection pane="bottomLeft" activeCell="B9" sqref="B9"/>
    </sheetView>
  </sheetViews>
  <sheetFormatPr baseColWidth="10" defaultColWidth="8.6640625" defaultRowHeight="15" customHeight="1" x14ac:dyDescent="0.2"/>
  <cols>
    <col min="1" max="1" width="12.5" customWidth="1"/>
    <col min="2" max="2" width="50" customWidth="1"/>
    <col min="3" max="3" width="18.33203125" customWidth="1"/>
    <col min="4" max="5" width="15" customWidth="1"/>
    <col min="6" max="6" width="21.6640625" customWidth="1"/>
    <col min="7" max="7" width="15.83203125" customWidth="1"/>
    <col min="8" max="8" width="36.6640625" customWidth="1"/>
  </cols>
  <sheetData>
    <row r="1" spans="1:9" ht="15" customHeight="1" x14ac:dyDescent="0.2">
      <c r="A1" s="292" t="s">
        <v>70</v>
      </c>
      <c r="B1" s="292"/>
      <c r="C1" s="292"/>
      <c r="D1" s="292"/>
      <c r="E1" s="292"/>
      <c r="F1" s="292"/>
      <c r="G1" s="292"/>
      <c r="H1" s="292"/>
      <c r="I1" s="292"/>
    </row>
    <row r="2" spans="1:9" ht="15" customHeight="1" x14ac:dyDescent="0.2">
      <c r="A2" s="81"/>
      <c r="B2" s="81"/>
      <c r="C2" s="81"/>
      <c r="D2" s="81"/>
      <c r="E2" s="81"/>
      <c r="F2" s="81"/>
      <c r="G2" s="81"/>
      <c r="H2" s="3"/>
      <c r="I2" s="3"/>
    </row>
    <row r="3" spans="1:9" ht="15" customHeight="1" x14ac:dyDescent="0.2">
      <c r="A3" s="182" t="s">
        <v>994</v>
      </c>
      <c r="B3" s="183"/>
      <c r="C3" s="183"/>
      <c r="D3" s="183"/>
      <c r="E3" s="183"/>
      <c r="F3" s="183"/>
      <c r="G3" s="183"/>
      <c r="H3" s="183"/>
      <c r="I3" s="3"/>
    </row>
    <row r="4" spans="1:9" ht="27.75" customHeight="1" x14ac:dyDescent="0.2">
      <c r="A4" s="127" t="s">
        <v>995</v>
      </c>
      <c r="B4" s="127" t="s">
        <v>237</v>
      </c>
      <c r="C4" s="127" t="s">
        <v>996</v>
      </c>
      <c r="D4" s="127" t="s">
        <v>997</v>
      </c>
      <c r="E4" s="127" t="s">
        <v>998</v>
      </c>
      <c r="F4" s="127" t="s">
        <v>999</v>
      </c>
      <c r="G4" s="127" t="s">
        <v>1000</v>
      </c>
      <c r="H4" s="127" t="s">
        <v>1001</v>
      </c>
      <c r="I4" s="3"/>
    </row>
    <row r="5" spans="1:9" ht="42" customHeight="1" x14ac:dyDescent="0.2">
      <c r="A5" s="133" t="s">
        <v>1002</v>
      </c>
      <c r="B5" s="142" t="s">
        <v>1003</v>
      </c>
      <c r="C5" s="137" t="s">
        <v>1004</v>
      </c>
      <c r="D5" s="135" t="s">
        <v>1005</v>
      </c>
      <c r="E5" s="135" t="s">
        <v>1006</v>
      </c>
      <c r="F5" s="135" t="s">
        <v>967</v>
      </c>
      <c r="G5" s="135" t="s">
        <v>1007</v>
      </c>
      <c r="H5" s="142" t="s">
        <v>1008</v>
      </c>
      <c r="I5" s="3"/>
    </row>
    <row r="6" spans="1:9" ht="42" customHeight="1" x14ac:dyDescent="0.2">
      <c r="A6" s="128" t="s">
        <v>1009</v>
      </c>
      <c r="B6" s="139" t="s">
        <v>1010</v>
      </c>
      <c r="C6" s="132" t="s">
        <v>20</v>
      </c>
      <c r="D6" s="130" t="s">
        <v>1005</v>
      </c>
      <c r="E6" s="130" t="s">
        <v>1006</v>
      </c>
      <c r="F6" s="130" t="s">
        <v>967</v>
      </c>
      <c r="G6" s="130" t="s">
        <v>1011</v>
      </c>
      <c r="H6" s="139" t="s">
        <v>1012</v>
      </c>
      <c r="I6" s="3"/>
    </row>
    <row r="7" spans="1:9" ht="42" customHeight="1" x14ac:dyDescent="0.2">
      <c r="A7" s="133" t="s">
        <v>1013</v>
      </c>
      <c r="B7" s="142" t="s">
        <v>1014</v>
      </c>
      <c r="C7" s="137" t="s">
        <v>1015</v>
      </c>
      <c r="D7" s="135" t="s">
        <v>1016</v>
      </c>
      <c r="E7" s="135" t="s">
        <v>1017</v>
      </c>
      <c r="F7" s="135" t="s">
        <v>1018</v>
      </c>
      <c r="G7" s="135" t="s">
        <v>1007</v>
      </c>
      <c r="H7" s="142" t="s">
        <v>1019</v>
      </c>
      <c r="I7" s="3"/>
    </row>
    <row r="8" spans="1:9" ht="42" customHeight="1" x14ac:dyDescent="0.2">
      <c r="A8" s="128" t="s">
        <v>1020</v>
      </c>
      <c r="B8" s="139" t="s">
        <v>1021</v>
      </c>
      <c r="C8" s="132" t="s">
        <v>1004</v>
      </c>
      <c r="D8" s="130" t="s">
        <v>1022</v>
      </c>
      <c r="E8" s="130" t="s">
        <v>1017</v>
      </c>
      <c r="F8" s="130" t="s">
        <v>967</v>
      </c>
      <c r="G8" s="130" t="s">
        <v>36</v>
      </c>
      <c r="H8" s="139" t="s">
        <v>1023</v>
      </c>
      <c r="I8" s="3"/>
    </row>
    <row r="9" spans="1:9" ht="42" customHeight="1" x14ac:dyDescent="0.2">
      <c r="A9" s="133" t="s">
        <v>1024</v>
      </c>
      <c r="B9" s="142" t="s">
        <v>1025</v>
      </c>
      <c r="C9" s="137" t="s">
        <v>20</v>
      </c>
      <c r="D9" s="135" t="s">
        <v>1022</v>
      </c>
      <c r="E9" s="135" t="s">
        <v>1026</v>
      </c>
      <c r="F9" s="135" t="s">
        <v>967</v>
      </c>
      <c r="G9" s="135" t="s">
        <v>263</v>
      </c>
      <c r="H9" s="142" t="s">
        <v>1027</v>
      </c>
      <c r="I9" s="3"/>
    </row>
    <row r="10" spans="1:9" ht="42" customHeight="1" x14ac:dyDescent="0.2">
      <c r="A10" s="128" t="s">
        <v>1028</v>
      </c>
      <c r="B10" s="139" t="s">
        <v>1029</v>
      </c>
      <c r="C10" s="132" t="s">
        <v>1015</v>
      </c>
      <c r="D10" s="130" t="s">
        <v>1016</v>
      </c>
      <c r="E10" s="130" t="s">
        <v>1026</v>
      </c>
      <c r="F10" s="130" t="s">
        <v>967</v>
      </c>
      <c r="G10" s="130" t="s">
        <v>1007</v>
      </c>
      <c r="H10" s="139" t="s">
        <v>1030</v>
      </c>
      <c r="I10" s="3"/>
    </row>
    <row r="11" spans="1:9" ht="42" customHeight="1" x14ac:dyDescent="0.2">
      <c r="A11" s="133" t="s">
        <v>1031</v>
      </c>
      <c r="B11" s="142" t="s">
        <v>1032</v>
      </c>
      <c r="C11" s="137" t="s">
        <v>1004</v>
      </c>
      <c r="D11" s="135" t="s">
        <v>1022</v>
      </c>
      <c r="E11" s="135" t="s">
        <v>1017</v>
      </c>
      <c r="F11" s="135" t="s">
        <v>967</v>
      </c>
      <c r="G11" s="135" t="s">
        <v>40</v>
      </c>
      <c r="H11" s="142" t="s">
        <v>1033</v>
      </c>
      <c r="I11" s="3"/>
    </row>
    <row r="12" spans="1:9" ht="42" customHeight="1" x14ac:dyDescent="0.2">
      <c r="A12" s="128" t="s">
        <v>1034</v>
      </c>
      <c r="B12" s="139" t="s">
        <v>1035</v>
      </c>
      <c r="C12" s="132" t="s">
        <v>1015</v>
      </c>
      <c r="D12" s="130" t="s">
        <v>1005</v>
      </c>
      <c r="E12" s="130" t="s">
        <v>1006</v>
      </c>
      <c r="F12" s="130" t="s">
        <v>967</v>
      </c>
      <c r="G12" s="130" t="s">
        <v>1007</v>
      </c>
      <c r="H12" s="139" t="s">
        <v>1036</v>
      </c>
      <c r="I12" s="3"/>
    </row>
    <row r="13" spans="1:9" ht="15" customHeight="1" x14ac:dyDescent="0.2">
      <c r="A13" s="3"/>
      <c r="B13" s="3"/>
      <c r="C13" s="3"/>
      <c r="D13" s="3"/>
      <c r="E13" s="3"/>
      <c r="F13" s="3"/>
      <c r="G13" s="3"/>
      <c r="H13" s="3"/>
      <c r="I13" s="3"/>
    </row>
    <row r="14" spans="1:9" ht="15" customHeight="1" x14ac:dyDescent="0.2">
      <c r="A14" s="184" t="s">
        <v>1037</v>
      </c>
      <c r="B14" s="183"/>
      <c r="C14" s="183"/>
      <c r="D14" s="183"/>
      <c r="E14" s="183"/>
      <c r="F14" s="183"/>
      <c r="G14" s="183"/>
      <c r="H14" s="183"/>
      <c r="I14" s="3"/>
    </row>
    <row r="15" spans="1:9" ht="15" customHeight="1" x14ac:dyDescent="0.2">
      <c r="A15" s="296" t="s">
        <v>996</v>
      </c>
      <c r="B15" s="296"/>
      <c r="C15" s="296"/>
      <c r="D15" s="296"/>
      <c r="E15" s="296"/>
      <c r="F15" s="296"/>
      <c r="G15" s="296"/>
      <c r="H15" s="296"/>
      <c r="I15" s="296"/>
    </row>
    <row r="16" spans="1:9" ht="15" customHeight="1" x14ac:dyDescent="0.2">
      <c r="A16" s="185" t="s">
        <v>22</v>
      </c>
      <c r="B16" s="186">
        <f>COUNTIF(C5:C12,"Résolu")</f>
        <v>0</v>
      </c>
      <c r="C16" s="187">
        <f>IFERROR(B16/B20,0)</f>
        <v>0</v>
      </c>
      <c r="D16" s="188" t="s">
        <v>1038</v>
      </c>
      <c r="E16" s="3"/>
      <c r="F16" s="189" t="s">
        <v>1026</v>
      </c>
      <c r="G16" s="190">
        <f>COUNTIF(E5:E12,"Critique")</f>
        <v>2</v>
      </c>
      <c r="H16" s="191">
        <f>IFERROR(G16/G19,0)</f>
        <v>0.25</v>
      </c>
      <c r="I16" s="3"/>
    </row>
    <row r="17" spans="1:9" ht="15" customHeight="1" x14ac:dyDescent="0.2">
      <c r="A17" s="192" t="s">
        <v>1015</v>
      </c>
      <c r="B17" s="193">
        <f>COUNTIF(C5:C12,"Pris en charge")</f>
        <v>3</v>
      </c>
      <c r="C17" s="194">
        <f>IFERROR(B17/B20,0)</f>
        <v>0.375</v>
      </c>
      <c r="D17" s="195" t="s">
        <v>1039</v>
      </c>
      <c r="E17" s="3"/>
      <c r="F17" s="196" t="s">
        <v>1017</v>
      </c>
      <c r="G17" s="197">
        <f>COUNTIF(E5:E12,"Élevé")</f>
        <v>3</v>
      </c>
      <c r="H17" s="198">
        <f>IFERROR(G17/G19,0)</f>
        <v>0.375</v>
      </c>
      <c r="I17" s="3"/>
    </row>
    <row r="18" spans="1:9" ht="15" customHeight="1" x14ac:dyDescent="0.2">
      <c r="A18" s="199" t="s">
        <v>1004</v>
      </c>
      <c r="B18" s="200">
        <f>COUNTIF(C5:C12,"Accepté")</f>
        <v>3</v>
      </c>
      <c r="C18" s="201">
        <f>IFERROR(B18/B20,0)</f>
        <v>0.375</v>
      </c>
      <c r="D18" s="202" t="s">
        <v>1040</v>
      </c>
      <c r="E18" s="3"/>
      <c r="F18" s="203" t="s">
        <v>1006</v>
      </c>
      <c r="G18" s="204">
        <f>COUNTIF(E5:E12,"Moyen")</f>
        <v>3</v>
      </c>
      <c r="H18" s="205">
        <f>IFERROR(G18/G19,0)</f>
        <v>0.375</v>
      </c>
      <c r="I18" s="3"/>
    </row>
    <row r="19" spans="1:9" ht="15" customHeight="1" x14ac:dyDescent="0.2">
      <c r="A19" s="206" t="s">
        <v>20</v>
      </c>
      <c r="B19" s="207">
        <f>COUNTIF(C5:C12,"Atténué")</f>
        <v>2</v>
      </c>
      <c r="C19" s="208">
        <f>IFERROR(B19/B20,0)</f>
        <v>0.25</v>
      </c>
      <c r="D19" s="209" t="s">
        <v>1041</v>
      </c>
      <c r="E19" s="3"/>
      <c r="F19" s="210" t="s">
        <v>1042</v>
      </c>
      <c r="G19" s="211">
        <f>SUM(G16:G18)</f>
        <v>8</v>
      </c>
      <c r="H19" s="212">
        <f>SUM(H16:H18)</f>
        <v>1</v>
      </c>
      <c r="I19" s="3"/>
    </row>
    <row r="20" spans="1:9" ht="15" customHeight="1" x14ac:dyDescent="0.2">
      <c r="A20" s="210" t="s">
        <v>1042</v>
      </c>
      <c r="B20" s="211">
        <f>SUM(B16:B19)</f>
        <v>8</v>
      </c>
      <c r="C20" s="213">
        <f>SUM(C16:C19)</f>
        <v>1</v>
      </c>
      <c r="D20" s="214"/>
      <c r="E20" s="3"/>
      <c r="F20" s="215"/>
      <c r="G20" s="215"/>
      <c r="H20" s="215"/>
      <c r="I20" s="3"/>
    </row>
  </sheetData>
  <mergeCells count="2">
    <mergeCell ref="A1:I1"/>
    <mergeCell ref="A15:I15"/>
  </mergeCells>
  <conditionalFormatting sqref="C5:C12">
    <cfRule type="cellIs" dxfId="8" priority="2" operator="equal">
      <formula>"Terminé"</formula>
    </cfRule>
    <cfRule type="cellIs" dxfId="7" priority="3" operator="equal">
      <formula>"Livré"</formula>
    </cfRule>
    <cfRule type="cellIs" dxfId="6" priority="4" operator="equal">
      <formula>"En cours"</formula>
    </cfRule>
    <cfRule type="cellIs" dxfId="5" priority="5" operator="equal">
      <formula>"Backlog"</formula>
    </cfRule>
    <cfRule type="cellIs" dxfId="4" priority="6" operator="equal">
      <formula>"Résolu"</formula>
    </cfRule>
    <cfRule type="cellIs" dxfId="3" priority="7" operator="equal">
      <formula>"Atténué"</formula>
    </cfRule>
    <cfRule type="cellIs" dxfId="2" priority="8" operator="equal">
      <formula>"Pris en charge"</formula>
    </cfRule>
  </conditionalFormatting>
  <conditionalFormatting sqref="E5:E12">
    <cfRule type="cellIs" dxfId="1" priority="9" operator="equal">
      <formula>"Critique"</formula>
    </cfRule>
    <cfRule type="cellIs" dxfId="0" priority="10" operator="equal">
      <formula>"Élevé"</formula>
    </cfRule>
  </conditionalFormatting>
  <dataValidations count="5">
    <dataValidation type="list" allowBlank="1" sqref="C5:C12" xr:uid="{00000000-0002-0000-0A00-000000000000}">
      <formula1>"Résolu,Accepté,Atténué,Pris en charge"</formula1>
      <formula2>0</formula2>
    </dataValidation>
    <dataValidation type="list" allowBlank="1" sqref="D5:D12" xr:uid="{00000000-0002-0000-0A00-000001000000}">
      <formula1>"Haute,Moyenne,Basse"</formula1>
      <formula2>0</formula2>
    </dataValidation>
    <dataValidation type="list" allowBlank="1" sqref="E5:E12" xr:uid="{00000000-0002-0000-0A00-000002000000}">
      <formula1>"Critique,Élevé,Moyen,Faible"</formula1>
      <formula2>0</formula2>
    </dataValidation>
    <dataValidation type="list" allowBlank="1" sqref="F5:F12" xr:uid="{00000000-0002-0000-0A00-000003000000}">
      <formula1>"Gwenvael,Gabin,Gwenvael + Gabin"</formula1>
      <formula2>0</formula2>
    </dataValidation>
    <dataValidation type="list" allowBlank="1" sqref="G5:G12" xr:uid="{00000000-0002-0000-0A00-000004000000}">
      <formula1>"Fin S1,S2,S3,Avant PI-2,PI-2,PI-3,Continu,Mars 2026,Fév 2026"</formula1>
      <formula2>0</formula2>
    </dataValidation>
  </dataValidations>
  <hyperlinks>
    <hyperlink ref="A1" location="Dashboard!A1" display="← Dashboard" xr:uid="{00000000-0004-0000-0A00-000000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55"/>
  <sheetViews>
    <sheetView zoomScale="107" zoomScaleNormal="107" workbookViewId="0">
      <pane ySplit="4" topLeftCell="A5" activePane="bottomLeft" state="frozen"/>
      <selection pane="bottomLeft" activeCell="B37" sqref="B37"/>
    </sheetView>
  </sheetViews>
  <sheetFormatPr baseColWidth="10" defaultColWidth="8.6640625" defaultRowHeight="15" x14ac:dyDescent="0.2"/>
  <cols>
    <col min="1" max="1" width="21" customWidth="1"/>
    <col min="2" max="2" width="48" customWidth="1"/>
    <col min="3" max="3" width="16.1640625" bestFit="1" customWidth="1"/>
    <col min="4" max="4" width="10" customWidth="1"/>
    <col min="5" max="5" width="14" customWidth="1"/>
    <col min="6" max="6" width="22" customWidth="1"/>
    <col min="7" max="7" width="12" customWidth="1"/>
    <col min="8" max="9" width="10" customWidth="1"/>
    <col min="10" max="10" width="20" customWidth="1"/>
  </cols>
  <sheetData>
    <row r="1" spans="1:15" ht="18" x14ac:dyDescent="0.2">
      <c r="A1" s="297" t="s">
        <v>853</v>
      </c>
      <c r="B1" s="297"/>
      <c r="C1" s="297"/>
      <c r="D1" s="297"/>
      <c r="E1" s="297"/>
      <c r="F1" s="297"/>
      <c r="G1" s="297"/>
      <c r="H1" s="297"/>
      <c r="I1" s="297"/>
      <c r="J1" s="297"/>
      <c r="K1" s="153"/>
      <c r="L1" s="3"/>
      <c r="M1" s="3"/>
      <c r="N1" s="3"/>
      <c r="O1" s="3"/>
    </row>
    <row r="2" spans="1:15" x14ac:dyDescent="0.2">
      <c r="A2" s="298" t="s">
        <v>854</v>
      </c>
      <c r="B2" s="298"/>
      <c r="C2" s="298"/>
      <c r="D2" s="298"/>
      <c r="E2" s="298"/>
      <c r="F2" s="298"/>
      <c r="G2" s="298"/>
      <c r="H2" s="298"/>
      <c r="I2" s="298"/>
      <c r="J2" s="298"/>
      <c r="K2" s="153"/>
      <c r="L2" s="3"/>
      <c r="M2" s="3"/>
      <c r="N2" s="3"/>
      <c r="O2" s="66" t="s">
        <v>70</v>
      </c>
    </row>
    <row r="3" spans="1:15" x14ac:dyDescent="0.2">
      <c r="A3" s="153"/>
      <c r="B3" s="153"/>
      <c r="C3" s="153"/>
      <c r="D3" s="153"/>
      <c r="E3" s="153"/>
      <c r="F3" s="153"/>
      <c r="G3" s="153"/>
      <c r="H3" s="153"/>
      <c r="I3" s="153"/>
      <c r="J3" s="153"/>
      <c r="K3" s="153"/>
      <c r="L3" s="3"/>
      <c r="M3" s="3"/>
      <c r="N3" s="3"/>
      <c r="O3" s="3"/>
    </row>
    <row r="4" spans="1:15" x14ac:dyDescent="0.2">
      <c r="A4" s="299" t="s">
        <v>855</v>
      </c>
      <c r="B4" s="299"/>
      <c r="C4" s="299"/>
      <c r="D4" s="299"/>
      <c r="E4" s="299"/>
      <c r="F4" s="299"/>
      <c r="G4" s="299"/>
      <c r="H4" s="299"/>
      <c r="I4" s="299"/>
      <c r="J4" s="299"/>
      <c r="K4" s="153"/>
      <c r="L4" s="3"/>
      <c r="M4" s="3"/>
      <c r="N4" s="3"/>
      <c r="O4" s="3"/>
    </row>
    <row r="5" spans="1:15" ht="30" x14ac:dyDescent="0.2">
      <c r="A5" s="155" t="s">
        <v>413</v>
      </c>
      <c r="B5" s="155" t="s">
        <v>190</v>
      </c>
      <c r="C5" s="155" t="s">
        <v>237</v>
      </c>
      <c r="D5" s="155" t="s">
        <v>856</v>
      </c>
      <c r="E5" s="155" t="s">
        <v>367</v>
      </c>
      <c r="F5" s="155" t="s">
        <v>857</v>
      </c>
      <c r="G5" s="155"/>
      <c r="H5" s="155"/>
      <c r="I5" s="155"/>
      <c r="J5" s="155"/>
      <c r="K5" s="153"/>
      <c r="L5" s="3"/>
      <c r="M5" s="3"/>
      <c r="N5" s="3"/>
      <c r="O5" s="3"/>
    </row>
    <row r="6" spans="1:15" ht="30" x14ac:dyDescent="0.2">
      <c r="A6" s="156" t="s">
        <v>858</v>
      </c>
      <c r="B6" s="156" t="s">
        <v>611</v>
      </c>
      <c r="C6" s="156" t="s">
        <v>612</v>
      </c>
      <c r="D6" s="156">
        <v>7</v>
      </c>
      <c r="E6" s="156" t="s">
        <v>301</v>
      </c>
      <c r="F6" s="156" t="s">
        <v>859</v>
      </c>
      <c r="G6" s="156"/>
      <c r="H6" s="156"/>
      <c r="I6" s="156"/>
      <c r="J6" s="156"/>
      <c r="K6" s="153"/>
      <c r="L6" s="3"/>
      <c r="M6" s="3"/>
      <c r="N6" s="3"/>
      <c r="O6" s="3"/>
    </row>
    <row r="7" spans="1:15" ht="30" x14ac:dyDescent="0.2">
      <c r="A7" s="156" t="s">
        <v>860</v>
      </c>
      <c r="B7" s="156" t="s">
        <v>595</v>
      </c>
      <c r="C7" s="156" t="s">
        <v>596</v>
      </c>
      <c r="D7" s="156">
        <v>6</v>
      </c>
      <c r="E7" s="156" t="s">
        <v>301</v>
      </c>
      <c r="F7" s="156" t="s">
        <v>861</v>
      </c>
      <c r="G7" s="156"/>
      <c r="H7" s="156"/>
      <c r="I7" s="156"/>
      <c r="J7" s="156"/>
      <c r="K7" s="153"/>
      <c r="L7" s="3"/>
      <c r="M7" s="3"/>
      <c r="N7" s="3"/>
      <c r="O7" s="3"/>
    </row>
    <row r="8" spans="1:15" x14ac:dyDescent="0.2">
      <c r="A8" s="156" t="s">
        <v>862</v>
      </c>
      <c r="B8" s="156" t="s">
        <v>618</v>
      </c>
      <c r="C8" s="156" t="s">
        <v>619</v>
      </c>
      <c r="D8" s="156">
        <v>5</v>
      </c>
      <c r="E8" s="156" t="s">
        <v>301</v>
      </c>
      <c r="F8" s="156" t="s">
        <v>863</v>
      </c>
      <c r="G8" s="156"/>
      <c r="H8" s="156"/>
      <c r="I8" s="156"/>
      <c r="J8" s="156"/>
      <c r="K8" s="153"/>
      <c r="L8" s="3"/>
      <c r="M8" s="3"/>
      <c r="N8" s="3"/>
      <c r="O8" s="3"/>
    </row>
    <row r="9" spans="1:15" ht="30" x14ac:dyDescent="0.2">
      <c r="A9" s="156" t="s">
        <v>864</v>
      </c>
      <c r="B9" s="156" t="s">
        <v>600</v>
      </c>
      <c r="C9" s="156" t="s">
        <v>865</v>
      </c>
      <c r="D9" s="156">
        <v>5</v>
      </c>
      <c r="E9" s="156" t="s">
        <v>866</v>
      </c>
      <c r="F9" s="156" t="s">
        <v>867</v>
      </c>
      <c r="G9" s="156"/>
      <c r="H9" s="156"/>
      <c r="I9" s="156"/>
      <c r="J9" s="156"/>
      <c r="K9" s="153"/>
      <c r="L9" s="3"/>
      <c r="M9" s="3"/>
      <c r="N9" s="3"/>
      <c r="O9" s="3"/>
    </row>
    <row r="10" spans="1:15" ht="30" x14ac:dyDescent="0.2">
      <c r="A10" s="156" t="s">
        <v>868</v>
      </c>
      <c r="B10" s="156" t="s">
        <v>605</v>
      </c>
      <c r="C10" s="156" t="s">
        <v>869</v>
      </c>
      <c r="D10" s="156">
        <v>3</v>
      </c>
      <c r="E10" s="156" t="s">
        <v>866</v>
      </c>
      <c r="F10" s="156" t="s">
        <v>870</v>
      </c>
      <c r="G10" s="156"/>
      <c r="H10" s="156"/>
      <c r="I10" s="156"/>
      <c r="J10" s="156"/>
      <c r="K10" s="153"/>
      <c r="L10" s="3"/>
      <c r="M10" s="3"/>
      <c r="N10" s="3"/>
      <c r="O10" s="3"/>
    </row>
    <row r="11" spans="1:15" x14ac:dyDescent="0.2">
      <c r="A11" s="157"/>
      <c r="B11" s="157"/>
      <c r="C11" s="158" t="s">
        <v>871</v>
      </c>
      <c r="D11" s="159">
        <v>26</v>
      </c>
      <c r="E11" s="157"/>
      <c r="F11" s="157"/>
      <c r="G11" s="160"/>
      <c r="H11" s="157"/>
      <c r="I11" s="157"/>
      <c r="J11" s="157"/>
      <c r="K11" s="153"/>
      <c r="L11" s="3"/>
      <c r="M11" s="3"/>
      <c r="N11" s="3"/>
      <c r="O11" s="3"/>
    </row>
    <row r="12" spans="1:15" x14ac:dyDescent="0.2">
      <c r="A12" s="153"/>
      <c r="B12" s="153"/>
      <c r="C12" s="153"/>
      <c r="D12" s="161"/>
      <c r="E12" s="153"/>
      <c r="F12" s="153"/>
      <c r="G12" s="161"/>
      <c r="H12" s="153"/>
      <c r="I12" s="153"/>
      <c r="J12" s="153"/>
      <c r="K12" s="153"/>
      <c r="L12" s="3"/>
      <c r="M12" s="3"/>
      <c r="N12" s="3"/>
      <c r="O12" s="3"/>
    </row>
    <row r="13" spans="1:15" x14ac:dyDescent="0.2">
      <c r="A13" s="299" t="s">
        <v>872</v>
      </c>
      <c r="B13" s="299"/>
      <c r="C13" s="299"/>
      <c r="D13" s="299"/>
      <c r="E13" s="299"/>
      <c r="F13" s="299"/>
      <c r="G13" s="299"/>
      <c r="H13" s="299"/>
      <c r="I13" s="299"/>
      <c r="J13" s="299"/>
      <c r="K13" s="153"/>
      <c r="L13" s="3"/>
      <c r="M13" s="3"/>
      <c r="N13" s="3"/>
      <c r="O13" s="3"/>
    </row>
    <row r="14" spans="1:15" x14ac:dyDescent="0.2">
      <c r="A14" s="155" t="s">
        <v>413</v>
      </c>
      <c r="B14" s="155" t="s">
        <v>873</v>
      </c>
      <c r="C14" s="155" t="s">
        <v>580</v>
      </c>
      <c r="D14" s="155" t="s">
        <v>236</v>
      </c>
      <c r="E14" s="155" t="s">
        <v>874</v>
      </c>
      <c r="F14" s="155" t="s">
        <v>875</v>
      </c>
      <c r="G14" s="155" t="s">
        <v>876</v>
      </c>
      <c r="H14" s="155" t="s">
        <v>877</v>
      </c>
      <c r="I14" s="155" t="s">
        <v>878</v>
      </c>
      <c r="J14" s="155" t="s">
        <v>879</v>
      </c>
      <c r="K14" s="153"/>
      <c r="L14" s="3"/>
      <c r="M14" s="3"/>
      <c r="N14" s="3"/>
      <c r="O14" s="3"/>
    </row>
    <row r="15" spans="1:15" x14ac:dyDescent="0.2">
      <c r="A15" s="162">
        <v>1</v>
      </c>
      <c r="B15" s="162" t="s">
        <v>880</v>
      </c>
      <c r="C15" s="162" t="s">
        <v>881</v>
      </c>
      <c r="D15" s="162" t="s">
        <v>882</v>
      </c>
      <c r="E15" s="162">
        <v>9</v>
      </c>
      <c r="F15" s="162" t="s">
        <v>883</v>
      </c>
      <c r="G15" s="162">
        <v>19</v>
      </c>
      <c r="H15" s="162"/>
      <c r="I15" s="162"/>
      <c r="J15" s="162"/>
      <c r="K15" s="153"/>
      <c r="L15" s="3"/>
      <c r="M15" s="3"/>
      <c r="N15" s="3"/>
      <c r="O15" s="3"/>
    </row>
    <row r="16" spans="1:15" x14ac:dyDescent="0.2">
      <c r="A16" s="162">
        <v>2</v>
      </c>
      <c r="B16" s="162" t="s">
        <v>884</v>
      </c>
      <c r="C16" s="162" t="s">
        <v>881</v>
      </c>
      <c r="D16" s="162" t="s">
        <v>882</v>
      </c>
      <c r="E16" s="162">
        <v>10</v>
      </c>
      <c r="F16" s="162" t="s">
        <v>885</v>
      </c>
      <c r="G16" s="162">
        <v>23</v>
      </c>
      <c r="H16" s="162"/>
      <c r="I16" s="162"/>
      <c r="J16" s="162"/>
      <c r="K16" s="153"/>
      <c r="L16" s="3"/>
      <c r="M16" s="3"/>
      <c r="N16" s="3"/>
      <c r="O16" s="3"/>
    </row>
    <row r="17" spans="1:15" x14ac:dyDescent="0.2">
      <c r="A17" s="162">
        <v>3</v>
      </c>
      <c r="B17" s="162" t="s">
        <v>886</v>
      </c>
      <c r="C17" s="162" t="s">
        <v>881</v>
      </c>
      <c r="D17" s="162" t="s">
        <v>882</v>
      </c>
      <c r="E17" s="162">
        <v>8</v>
      </c>
      <c r="F17" s="162" t="s">
        <v>887</v>
      </c>
      <c r="G17" s="162">
        <v>11</v>
      </c>
      <c r="H17" s="162"/>
      <c r="I17" s="162"/>
      <c r="J17" s="162"/>
      <c r="K17" s="153"/>
      <c r="L17" s="3"/>
      <c r="M17" s="3"/>
      <c r="N17" s="3"/>
      <c r="O17" s="3"/>
    </row>
    <row r="18" spans="1:15" x14ac:dyDescent="0.2">
      <c r="A18" s="162">
        <v>4</v>
      </c>
      <c r="B18" s="162" t="s">
        <v>888</v>
      </c>
      <c r="C18" s="162" t="s">
        <v>889</v>
      </c>
      <c r="D18" s="162" t="s">
        <v>890</v>
      </c>
      <c r="E18" s="162">
        <v>10</v>
      </c>
      <c r="F18" s="162" t="s">
        <v>891</v>
      </c>
      <c r="G18" s="162">
        <v>18</v>
      </c>
      <c r="H18" s="162"/>
      <c r="I18" s="162"/>
      <c r="J18" s="162"/>
      <c r="K18" s="153"/>
      <c r="L18" s="3"/>
      <c r="M18" s="3"/>
      <c r="N18" s="3"/>
      <c r="O18" s="3"/>
    </row>
    <row r="19" spans="1:15" x14ac:dyDescent="0.2">
      <c r="A19" s="163"/>
      <c r="B19" s="164" t="s">
        <v>892</v>
      </c>
      <c r="C19" s="165"/>
      <c r="D19" s="165"/>
      <c r="E19" s="164">
        <v>37</v>
      </c>
      <c r="F19" s="165"/>
      <c r="G19" s="166">
        <v>71</v>
      </c>
      <c r="H19" s="163"/>
      <c r="I19" s="163"/>
      <c r="J19" s="163"/>
      <c r="K19" s="153"/>
      <c r="L19" s="3"/>
      <c r="M19" s="3"/>
      <c r="N19" s="3"/>
      <c r="O19" s="3"/>
    </row>
    <row r="20" spans="1:15" x14ac:dyDescent="0.2">
      <c r="A20" s="153"/>
      <c r="B20" s="161"/>
      <c r="C20" s="161"/>
      <c r="D20" s="161"/>
      <c r="E20" s="161"/>
      <c r="F20" s="161"/>
      <c r="G20" s="167"/>
      <c r="H20" s="153"/>
      <c r="I20" s="153"/>
      <c r="J20" s="153"/>
      <c r="K20" s="153"/>
      <c r="L20" s="3"/>
      <c r="M20" s="3"/>
      <c r="N20" s="3"/>
      <c r="O20" s="3"/>
    </row>
    <row r="21" spans="1:15" x14ac:dyDescent="0.2">
      <c r="A21" s="300" t="s">
        <v>893</v>
      </c>
      <c r="B21" s="300"/>
      <c r="C21" s="300"/>
      <c r="D21" s="300"/>
      <c r="E21" s="300"/>
      <c r="F21" s="300"/>
      <c r="G21" s="300"/>
      <c r="H21" s="300"/>
      <c r="I21" s="300"/>
      <c r="J21" s="300"/>
      <c r="K21" s="153"/>
      <c r="L21" s="3"/>
      <c r="M21" s="3"/>
      <c r="N21" s="3"/>
      <c r="O21" s="3"/>
    </row>
    <row r="22" spans="1:15" x14ac:dyDescent="0.2">
      <c r="A22" s="155" t="s">
        <v>413</v>
      </c>
      <c r="B22" s="155" t="s">
        <v>873</v>
      </c>
      <c r="C22" s="155" t="s">
        <v>580</v>
      </c>
      <c r="D22" s="155" t="s">
        <v>236</v>
      </c>
      <c r="E22" s="155" t="s">
        <v>874</v>
      </c>
      <c r="F22" s="155" t="s">
        <v>875</v>
      </c>
      <c r="G22" s="155" t="s">
        <v>876</v>
      </c>
      <c r="H22" s="155" t="s">
        <v>877</v>
      </c>
      <c r="I22" s="155" t="s">
        <v>878</v>
      </c>
      <c r="J22" s="155" t="s">
        <v>879</v>
      </c>
      <c r="K22" s="3"/>
      <c r="L22" s="3"/>
      <c r="M22" s="3"/>
      <c r="N22" s="3"/>
      <c r="O22" s="3"/>
    </row>
    <row r="23" spans="1:15" x14ac:dyDescent="0.2">
      <c r="A23" s="168">
        <v>5</v>
      </c>
      <c r="B23" s="168" t="s">
        <v>894</v>
      </c>
      <c r="C23" s="168" t="s">
        <v>597</v>
      </c>
      <c r="D23" s="168" t="s">
        <v>895</v>
      </c>
      <c r="E23" s="168">
        <v>4</v>
      </c>
      <c r="F23" s="168" t="s">
        <v>815</v>
      </c>
      <c r="G23" s="168">
        <v>5</v>
      </c>
      <c r="H23" s="168"/>
      <c r="I23" s="168"/>
      <c r="J23" s="168"/>
      <c r="K23" s="3"/>
      <c r="L23" s="3"/>
      <c r="M23" s="3"/>
      <c r="N23" s="3"/>
      <c r="O23" s="3"/>
    </row>
    <row r="24" spans="1:15" x14ac:dyDescent="0.2">
      <c r="A24" s="168">
        <v>6</v>
      </c>
      <c r="B24" s="168" t="s">
        <v>837</v>
      </c>
      <c r="C24" s="168" t="s">
        <v>889</v>
      </c>
      <c r="D24" s="168" t="s">
        <v>890</v>
      </c>
      <c r="E24" s="168">
        <v>3</v>
      </c>
      <c r="F24" s="168" t="s">
        <v>836</v>
      </c>
      <c r="G24" s="168">
        <v>3</v>
      </c>
      <c r="H24" s="168"/>
      <c r="I24" s="168"/>
      <c r="J24" s="168"/>
      <c r="K24" s="3"/>
      <c r="L24" s="3"/>
      <c r="M24" s="3"/>
      <c r="N24" s="3"/>
      <c r="O24" s="3"/>
    </row>
    <row r="25" spans="1:15" x14ac:dyDescent="0.2">
      <c r="A25" s="152"/>
      <c r="B25" s="169" t="s">
        <v>896</v>
      </c>
      <c r="C25" s="152"/>
      <c r="D25" s="152"/>
      <c r="E25" s="169">
        <v>7</v>
      </c>
      <c r="F25" s="152"/>
      <c r="G25" s="169">
        <v>8</v>
      </c>
      <c r="H25" s="152"/>
      <c r="I25" s="152"/>
      <c r="J25" s="152"/>
      <c r="K25" s="3"/>
      <c r="L25" s="3"/>
      <c r="M25" s="3"/>
      <c r="N25" s="3"/>
      <c r="O25" s="3"/>
    </row>
    <row r="26" spans="1:15" x14ac:dyDescent="0.2">
      <c r="A26" s="3"/>
      <c r="B26" s="3"/>
      <c r="C26" s="3"/>
      <c r="D26" s="3"/>
      <c r="E26" s="3"/>
      <c r="F26" s="3"/>
      <c r="G26" s="3"/>
      <c r="H26" s="3"/>
      <c r="I26" s="3"/>
      <c r="J26" s="3"/>
      <c r="K26" s="3"/>
      <c r="L26" s="3"/>
      <c r="M26" s="3"/>
      <c r="N26" s="3"/>
      <c r="O26" s="3"/>
    </row>
    <row r="27" spans="1:15" x14ac:dyDescent="0.2">
      <c r="A27" s="299" t="s">
        <v>897</v>
      </c>
      <c r="B27" s="299"/>
      <c r="C27" s="299"/>
      <c r="D27" s="299"/>
      <c r="E27" s="299"/>
      <c r="F27" s="299"/>
      <c r="G27" s="299"/>
      <c r="H27" s="299"/>
      <c r="I27" s="299"/>
      <c r="J27" s="299"/>
      <c r="K27" s="3"/>
      <c r="L27" s="3"/>
      <c r="M27" s="3"/>
      <c r="N27" s="3"/>
      <c r="O27" s="3"/>
    </row>
    <row r="28" spans="1:15" x14ac:dyDescent="0.2">
      <c r="A28" s="155" t="s">
        <v>898</v>
      </c>
      <c r="B28" s="155" t="s">
        <v>899</v>
      </c>
      <c r="C28" s="155" t="s">
        <v>776</v>
      </c>
      <c r="D28" s="155" t="s">
        <v>900</v>
      </c>
      <c r="E28" s="155" t="s">
        <v>901</v>
      </c>
      <c r="F28" s="155" t="s">
        <v>902</v>
      </c>
      <c r="G28" s="155"/>
      <c r="H28" s="155"/>
      <c r="I28" s="155"/>
      <c r="J28" s="155"/>
      <c r="K28" s="3"/>
      <c r="L28" s="3"/>
      <c r="M28" s="3"/>
      <c r="N28" s="3"/>
      <c r="O28" s="3"/>
    </row>
    <row r="29" spans="1:15" x14ac:dyDescent="0.2">
      <c r="A29" s="162" t="s">
        <v>903</v>
      </c>
      <c r="B29" s="162">
        <v>4</v>
      </c>
      <c r="C29" s="162">
        <v>71</v>
      </c>
      <c r="D29" s="162">
        <v>37</v>
      </c>
      <c r="E29" s="162" t="s">
        <v>904</v>
      </c>
      <c r="F29" s="162" t="s">
        <v>905</v>
      </c>
      <c r="G29" s="162"/>
      <c r="H29" s="162"/>
      <c r="I29" s="162"/>
      <c r="J29" s="162"/>
      <c r="K29" s="3"/>
      <c r="L29" s="3"/>
      <c r="M29" s="3"/>
      <c r="N29" s="3"/>
      <c r="O29" s="3"/>
    </row>
    <row r="30" spans="1:15" x14ac:dyDescent="0.2">
      <c r="A30" s="170" t="s">
        <v>906</v>
      </c>
      <c r="B30" s="170">
        <v>2</v>
      </c>
      <c r="C30" s="170">
        <v>8</v>
      </c>
      <c r="D30" s="170">
        <v>7</v>
      </c>
      <c r="E30" s="170"/>
      <c r="F30" s="170"/>
      <c r="G30" s="170"/>
      <c r="H30" s="170"/>
      <c r="I30" s="170"/>
      <c r="J30" s="170"/>
      <c r="K30" s="3"/>
      <c r="L30" s="3"/>
      <c r="M30" s="3"/>
      <c r="N30" s="3"/>
      <c r="O30" s="3"/>
    </row>
    <row r="31" spans="1:15" x14ac:dyDescent="0.2">
      <c r="A31" s="171" t="s">
        <v>907</v>
      </c>
      <c r="B31" s="171">
        <v>6</v>
      </c>
      <c r="C31" s="171">
        <v>79</v>
      </c>
      <c r="D31" s="171">
        <v>44</v>
      </c>
      <c r="E31" s="171"/>
      <c r="F31" s="171"/>
      <c r="G31" s="171"/>
      <c r="H31" s="171"/>
      <c r="I31" s="171"/>
      <c r="J31" s="171"/>
      <c r="K31" s="3"/>
      <c r="L31" s="3"/>
      <c r="M31" s="3"/>
      <c r="N31" s="3"/>
      <c r="O31" s="3"/>
    </row>
    <row r="32" spans="1:15" x14ac:dyDescent="0.2">
      <c r="A32" s="3"/>
      <c r="B32" s="3"/>
      <c r="C32" s="3"/>
      <c r="D32" s="3"/>
      <c r="E32" s="3"/>
      <c r="F32" s="3"/>
      <c r="G32" s="3"/>
      <c r="H32" s="3"/>
      <c r="I32" s="3"/>
      <c r="J32" s="3"/>
      <c r="K32" s="3"/>
      <c r="L32" s="3"/>
      <c r="M32" s="3"/>
      <c r="N32" s="3"/>
      <c r="O32" s="3"/>
    </row>
    <row r="33" spans="1:15" x14ac:dyDescent="0.2">
      <c r="A33" s="299" t="s">
        <v>908</v>
      </c>
      <c r="B33" s="299"/>
      <c r="C33" s="299"/>
      <c r="D33" s="299"/>
      <c r="E33" s="299"/>
      <c r="F33" s="299"/>
      <c r="G33" s="299"/>
      <c r="H33" s="299"/>
      <c r="I33" s="299"/>
      <c r="J33" s="299"/>
      <c r="K33" s="3"/>
      <c r="L33" s="3"/>
      <c r="M33" s="3"/>
      <c r="N33" s="3"/>
      <c r="O33" s="3"/>
    </row>
    <row r="34" spans="1:15" x14ac:dyDescent="0.2">
      <c r="A34" s="155" t="s">
        <v>266</v>
      </c>
      <c r="B34" s="155" t="s">
        <v>909</v>
      </c>
      <c r="C34" s="155" t="s">
        <v>877</v>
      </c>
      <c r="D34" s="155" t="s">
        <v>878</v>
      </c>
      <c r="E34" s="155"/>
      <c r="F34" s="155"/>
      <c r="G34" s="155"/>
      <c r="H34" s="155"/>
      <c r="I34" s="155"/>
      <c r="J34" s="155"/>
      <c r="K34" s="3"/>
      <c r="L34" s="3"/>
      <c r="M34" s="3"/>
      <c r="N34" s="3"/>
      <c r="O34" s="3"/>
    </row>
    <row r="35" spans="1:15" x14ac:dyDescent="0.2">
      <c r="A35" s="162" t="s">
        <v>910</v>
      </c>
      <c r="B35" s="162">
        <v>9</v>
      </c>
      <c r="C35" s="162"/>
      <c r="D35" s="162"/>
      <c r="E35" s="162"/>
      <c r="F35" s="162"/>
      <c r="G35" s="162"/>
      <c r="H35" s="162"/>
      <c r="I35" s="162"/>
      <c r="J35" s="162"/>
      <c r="K35" s="3"/>
      <c r="L35" s="3"/>
      <c r="M35" s="3"/>
      <c r="N35" s="3"/>
      <c r="O35" s="3"/>
    </row>
    <row r="36" spans="1:15" x14ac:dyDescent="0.2">
      <c r="A36" s="162" t="s">
        <v>911</v>
      </c>
      <c r="B36" s="162">
        <v>10</v>
      </c>
      <c r="C36" s="162"/>
      <c r="D36" s="162"/>
      <c r="E36" s="162"/>
      <c r="F36" s="162"/>
      <c r="G36" s="162"/>
      <c r="H36" s="162"/>
      <c r="I36" s="162"/>
      <c r="J36" s="162"/>
      <c r="K36" s="3"/>
      <c r="L36" s="3"/>
      <c r="M36" s="3"/>
      <c r="N36" s="3"/>
      <c r="O36" s="3"/>
    </row>
    <row r="37" spans="1:15" x14ac:dyDescent="0.2">
      <c r="A37" s="162" t="s">
        <v>912</v>
      </c>
      <c r="B37" s="162">
        <v>8</v>
      </c>
      <c r="C37" s="162"/>
      <c r="D37" s="162"/>
      <c r="E37" s="162"/>
      <c r="F37" s="162"/>
      <c r="G37" s="162"/>
      <c r="H37" s="162"/>
      <c r="I37" s="162"/>
      <c r="J37" s="162"/>
      <c r="K37" s="3"/>
      <c r="L37" s="3"/>
      <c r="M37" s="3"/>
      <c r="N37" s="3"/>
      <c r="O37" s="3"/>
    </row>
    <row r="38" spans="1:15" x14ac:dyDescent="0.2">
      <c r="A38" s="162" t="s">
        <v>913</v>
      </c>
      <c r="B38" s="162">
        <v>10</v>
      </c>
      <c r="C38" s="162"/>
      <c r="D38" s="162"/>
      <c r="E38" s="162"/>
      <c r="F38" s="162"/>
      <c r="G38" s="162"/>
      <c r="H38" s="162"/>
      <c r="I38" s="162"/>
      <c r="J38" s="162"/>
      <c r="K38" s="3"/>
      <c r="L38" s="3"/>
      <c r="M38" s="3"/>
      <c r="N38" s="3"/>
      <c r="O38" s="3"/>
    </row>
    <row r="39" spans="1:15" x14ac:dyDescent="0.2">
      <c r="A39" s="171" t="s">
        <v>892</v>
      </c>
      <c r="B39" s="171">
        <v>37</v>
      </c>
      <c r="C39" s="171"/>
      <c r="D39" s="171"/>
      <c r="E39" s="171"/>
      <c r="F39" s="171"/>
      <c r="G39" s="171"/>
      <c r="H39" s="171"/>
      <c r="I39" s="171"/>
      <c r="J39" s="171"/>
      <c r="K39" s="3"/>
      <c r="L39" s="3"/>
      <c r="M39" s="3"/>
      <c r="N39" s="3"/>
      <c r="O39" s="3"/>
    </row>
    <row r="40" spans="1:15" x14ac:dyDescent="0.2">
      <c r="A40" s="170" t="s">
        <v>914</v>
      </c>
      <c r="B40" s="170">
        <v>4</v>
      </c>
      <c r="C40" s="170"/>
      <c r="D40" s="170"/>
      <c r="E40" s="170"/>
      <c r="F40" s="170"/>
      <c r="G40" s="170"/>
      <c r="H40" s="170"/>
      <c r="I40" s="170"/>
      <c r="J40" s="170"/>
      <c r="K40" s="3"/>
      <c r="L40" s="3"/>
      <c r="M40" s="3"/>
      <c r="N40" s="3"/>
      <c r="O40" s="3"/>
    </row>
    <row r="41" spans="1:15" x14ac:dyDescent="0.2">
      <c r="A41" s="170" t="s">
        <v>915</v>
      </c>
      <c r="B41" s="170">
        <v>3</v>
      </c>
      <c r="C41" s="170"/>
      <c r="D41" s="170"/>
      <c r="E41" s="170"/>
      <c r="F41" s="170"/>
      <c r="G41" s="170"/>
      <c r="H41" s="170"/>
      <c r="I41" s="170"/>
      <c r="J41" s="170"/>
      <c r="K41" s="3"/>
      <c r="L41" s="3"/>
      <c r="M41" s="3"/>
      <c r="N41" s="3"/>
      <c r="O41" s="3"/>
    </row>
    <row r="42" spans="1:15" x14ac:dyDescent="0.2">
      <c r="A42" s="171" t="s">
        <v>896</v>
      </c>
      <c r="B42" s="171">
        <v>7</v>
      </c>
      <c r="C42" s="171"/>
      <c r="D42" s="171"/>
      <c r="E42" s="171"/>
      <c r="F42" s="171"/>
      <c r="G42" s="171"/>
      <c r="H42" s="171"/>
      <c r="I42" s="171"/>
      <c r="J42" s="171"/>
      <c r="K42" s="3"/>
      <c r="L42" s="3"/>
      <c r="M42" s="3"/>
      <c r="N42" s="3"/>
      <c r="O42" s="3"/>
    </row>
    <row r="43" spans="1:15" x14ac:dyDescent="0.2">
      <c r="A43" s="301" t="s">
        <v>916</v>
      </c>
      <c r="B43" s="301"/>
      <c r="C43" s="301"/>
      <c r="D43" s="3"/>
      <c r="E43" s="3"/>
      <c r="F43" s="3"/>
      <c r="G43" s="3"/>
      <c r="H43" s="3"/>
      <c r="I43" s="3"/>
      <c r="J43" s="3"/>
      <c r="K43" s="3"/>
      <c r="L43" s="3"/>
      <c r="M43" s="3"/>
      <c r="N43" s="3"/>
      <c r="O43" s="3"/>
    </row>
    <row r="44" spans="1:15" x14ac:dyDescent="0.2">
      <c r="A44" s="3"/>
      <c r="B44" s="3"/>
      <c r="C44" s="3"/>
      <c r="D44" s="3"/>
      <c r="E44" s="3"/>
      <c r="F44" s="3"/>
      <c r="G44" s="3"/>
      <c r="H44" s="3"/>
      <c r="I44" s="3"/>
      <c r="J44" s="3"/>
      <c r="K44" s="3"/>
      <c r="L44" s="3"/>
      <c r="M44" s="3"/>
      <c r="N44" s="3"/>
      <c r="O44" s="3"/>
    </row>
    <row r="45" spans="1:15" x14ac:dyDescent="0.2">
      <c r="A45" s="302" t="s">
        <v>917</v>
      </c>
      <c r="B45" s="302"/>
      <c r="C45" s="302"/>
      <c r="D45" s="302"/>
      <c r="E45" s="302"/>
      <c r="F45" s="302"/>
      <c r="G45" s="302"/>
      <c r="H45" s="302"/>
      <c r="I45" s="302"/>
      <c r="J45" s="302"/>
      <c r="K45" s="3"/>
      <c r="L45" s="3"/>
      <c r="M45" s="3"/>
      <c r="N45" s="3"/>
      <c r="O45" s="3"/>
    </row>
    <row r="46" spans="1:15" x14ac:dyDescent="0.2">
      <c r="A46" s="155" t="s">
        <v>413</v>
      </c>
      <c r="B46" s="155" t="s">
        <v>918</v>
      </c>
      <c r="C46" s="155" t="s">
        <v>580</v>
      </c>
      <c r="D46" s="155" t="s">
        <v>236</v>
      </c>
      <c r="E46" s="155" t="s">
        <v>919</v>
      </c>
      <c r="F46" s="155"/>
      <c r="G46" s="155"/>
      <c r="H46" s="155"/>
      <c r="I46" s="155"/>
      <c r="J46" s="155"/>
      <c r="K46" s="3"/>
      <c r="L46" s="3"/>
      <c r="M46" s="3"/>
      <c r="N46" s="3"/>
      <c r="O46" s="3"/>
    </row>
    <row r="47" spans="1:15" ht="30" x14ac:dyDescent="0.2">
      <c r="A47" s="172">
        <v>1</v>
      </c>
      <c r="B47" s="172" t="s">
        <v>920</v>
      </c>
      <c r="C47" s="172" t="s">
        <v>881</v>
      </c>
      <c r="D47" s="172" t="s">
        <v>882</v>
      </c>
      <c r="E47" s="172">
        <v>10</v>
      </c>
      <c r="F47" s="172"/>
      <c r="G47" s="172"/>
      <c r="H47" s="172"/>
      <c r="I47" s="172"/>
      <c r="J47" s="172"/>
      <c r="K47" s="3"/>
      <c r="L47" s="3"/>
      <c r="M47" s="3"/>
      <c r="N47" s="3"/>
      <c r="O47" s="3"/>
    </row>
    <row r="48" spans="1:15" x14ac:dyDescent="0.2">
      <c r="A48" s="172">
        <v>2</v>
      </c>
      <c r="B48" s="172" t="s">
        <v>921</v>
      </c>
      <c r="C48" s="172" t="s">
        <v>881</v>
      </c>
      <c r="D48" s="172" t="s">
        <v>922</v>
      </c>
      <c r="E48" s="172">
        <v>6</v>
      </c>
      <c r="F48" s="172"/>
      <c r="G48" s="172"/>
      <c r="H48" s="172"/>
      <c r="I48" s="172"/>
      <c r="J48" s="172"/>
      <c r="K48" s="3"/>
      <c r="L48" s="3"/>
      <c r="M48" s="3"/>
      <c r="N48" s="3"/>
      <c r="O48" s="3"/>
    </row>
    <row r="49" spans="1:15" x14ac:dyDescent="0.2">
      <c r="A49" s="172">
        <v>3</v>
      </c>
      <c r="B49" s="172" t="s">
        <v>923</v>
      </c>
      <c r="C49" s="172" t="s">
        <v>390</v>
      </c>
      <c r="D49" s="172" t="s">
        <v>390</v>
      </c>
      <c r="E49" s="172" t="s">
        <v>924</v>
      </c>
      <c r="F49" s="172"/>
      <c r="G49" s="172"/>
      <c r="H49" s="172"/>
      <c r="I49" s="172"/>
      <c r="J49" s="172"/>
      <c r="K49" s="3"/>
      <c r="L49" s="3"/>
      <c r="M49" s="3"/>
      <c r="N49" s="3"/>
      <c r="O49" s="3"/>
    </row>
    <row r="50" spans="1:15" x14ac:dyDescent="0.2">
      <c r="A50" s="3"/>
      <c r="B50" s="3"/>
      <c r="C50" s="3"/>
      <c r="D50" s="3"/>
      <c r="E50" s="3"/>
      <c r="F50" s="3"/>
      <c r="G50" s="3"/>
      <c r="H50" s="3"/>
      <c r="I50" s="3"/>
      <c r="J50" s="3"/>
      <c r="K50" s="3"/>
      <c r="L50" s="3"/>
      <c r="M50" s="3"/>
      <c r="N50" s="3"/>
      <c r="O50" s="3"/>
    </row>
    <row r="51" spans="1:15" x14ac:dyDescent="0.2">
      <c r="A51" s="303" t="s">
        <v>925</v>
      </c>
      <c r="B51" s="303"/>
      <c r="C51" s="303"/>
      <c r="D51" s="303"/>
      <c r="E51" s="303"/>
      <c r="F51" s="303"/>
      <c r="G51" s="303"/>
      <c r="H51" s="303"/>
      <c r="I51" s="303"/>
      <c r="J51" s="303"/>
      <c r="K51" s="3"/>
      <c r="L51" s="3"/>
      <c r="M51" s="3"/>
      <c r="N51" s="3"/>
      <c r="O51" s="3"/>
    </row>
    <row r="52" spans="1:15" x14ac:dyDescent="0.2">
      <c r="A52" s="155" t="s">
        <v>413</v>
      </c>
      <c r="B52" s="155" t="s">
        <v>918</v>
      </c>
      <c r="C52" s="155" t="s">
        <v>580</v>
      </c>
      <c r="D52" s="155" t="s">
        <v>236</v>
      </c>
      <c r="E52" s="155" t="s">
        <v>919</v>
      </c>
      <c r="F52" s="155"/>
      <c r="G52" s="155"/>
      <c r="H52" s="155"/>
      <c r="I52" s="155"/>
      <c r="J52" s="155"/>
      <c r="K52" s="3"/>
      <c r="L52" s="3"/>
      <c r="M52" s="3"/>
      <c r="N52" s="3"/>
      <c r="O52" s="3"/>
    </row>
    <row r="53" spans="1:15" x14ac:dyDescent="0.2">
      <c r="A53" s="173">
        <v>1</v>
      </c>
      <c r="B53" s="173" t="s">
        <v>926</v>
      </c>
      <c r="C53" s="173" t="s">
        <v>889</v>
      </c>
      <c r="D53" s="173" t="s">
        <v>922</v>
      </c>
      <c r="E53" s="173">
        <v>8</v>
      </c>
      <c r="F53" s="173"/>
      <c r="G53" s="173"/>
      <c r="H53" s="173"/>
      <c r="I53" s="173"/>
      <c r="J53" s="173"/>
      <c r="K53" s="3"/>
      <c r="L53" s="3"/>
      <c r="M53" s="3"/>
      <c r="N53" s="3"/>
      <c r="O53" s="3"/>
    </row>
    <row r="54" spans="1:15" x14ac:dyDescent="0.2">
      <c r="A54" s="173">
        <v>2</v>
      </c>
      <c r="B54" s="173" t="s">
        <v>927</v>
      </c>
      <c r="C54" s="173" t="s">
        <v>889</v>
      </c>
      <c r="D54" s="173" t="s">
        <v>922</v>
      </c>
      <c r="E54" s="173">
        <v>6</v>
      </c>
      <c r="F54" s="173"/>
      <c r="G54" s="173"/>
      <c r="H54" s="173"/>
      <c r="I54" s="173"/>
      <c r="J54" s="173"/>
      <c r="K54" s="3"/>
      <c r="L54" s="3"/>
      <c r="M54" s="3"/>
      <c r="N54" s="3"/>
      <c r="O54" s="3"/>
    </row>
    <row r="55" spans="1:15" x14ac:dyDescent="0.2">
      <c r="A55" s="173">
        <v>3</v>
      </c>
      <c r="B55" s="173" t="s">
        <v>928</v>
      </c>
      <c r="C55" s="173" t="s">
        <v>597</v>
      </c>
      <c r="D55" s="173" t="s">
        <v>890</v>
      </c>
      <c r="E55" s="173">
        <v>5</v>
      </c>
      <c r="F55" s="173"/>
      <c r="G55" s="173"/>
      <c r="H55" s="173"/>
      <c r="I55" s="173"/>
      <c r="J55" s="173"/>
      <c r="K55" s="3"/>
      <c r="L55" s="3"/>
      <c r="M55" s="3"/>
      <c r="N55" s="3"/>
      <c r="O55" s="3"/>
    </row>
  </sheetData>
  <mergeCells count="10">
    <mergeCell ref="A27:J27"/>
    <mergeCell ref="A33:J33"/>
    <mergeCell ref="A43:C43"/>
    <mergeCell ref="A45:J45"/>
    <mergeCell ref="A51:J51"/>
    <mergeCell ref="A1:J1"/>
    <mergeCell ref="A2:J2"/>
    <mergeCell ref="A4:J4"/>
    <mergeCell ref="A13:J13"/>
    <mergeCell ref="A21:J21"/>
  </mergeCells>
  <dataValidations count="4">
    <dataValidation type="list" allowBlank="1" sqref="E6:E10" xr:uid="{00000000-0002-0000-0800-000000000000}">
      <formula1>"✅ Done,⚠️ Partiel,❌ Non livré"</formula1>
      <formula2>0</formula2>
    </dataValidation>
    <dataValidation type="list" allowBlank="1" sqref="I15:I18 I23:I24 D35:D41" xr:uid="{00000000-0002-0000-0800-000001000000}">
      <formula1>"Oui,Non,Partiel"</formula1>
      <formula2>0</formula2>
    </dataValidation>
    <dataValidation type="list" allowBlank="1" sqref="C15:C18 C23:C24 C47:C49 C53:C54" xr:uid="{00000000-0002-0000-0800-000002000000}">
      <formula1>"VS1,VS2,Transverse,-"</formula1>
      <formula2>0</formula2>
    </dataValidation>
    <dataValidation type="list" allowBlank="1" sqref="D15:D18 D23:D24 D47:D49 D53:D54" xr:uid="{00000000-0002-0000-0800-000003000000}">
      <formula1>"TS1,TS2,TS3,TS4,-"</formula1>
      <formula2>0</formula2>
    </dataValidation>
  </dataValidations>
  <hyperlinks>
    <hyperlink ref="A1" location="Dashboard!A1" display="PI Objectives — Scoring Business Value" xr:uid="{00000000-0004-0000-0800-000000000000}"/>
    <hyperlink ref="O2" r:id="rId1" location="Dashboard!A1" xr:uid="{00000000-0004-0000-0800-000001000000}"/>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6"/>
  <sheetViews>
    <sheetView zoomScaleNormal="100" workbookViewId="0">
      <pane ySplit="4" topLeftCell="A5" activePane="bottomLeft" state="frozen"/>
      <selection pane="bottomLeft" activeCell="C20" sqref="C20"/>
    </sheetView>
  </sheetViews>
  <sheetFormatPr baseColWidth="10" defaultColWidth="8.6640625" defaultRowHeight="15" customHeight="1" x14ac:dyDescent="0.2"/>
  <cols>
    <col min="1" max="1" width="16" customWidth="1"/>
    <col min="2" max="6" width="28" customWidth="1"/>
    <col min="7" max="7" width="8" customWidth="1"/>
    <col min="8" max="8" width="12" customWidth="1"/>
    <col min="9" max="9" width="30" customWidth="1"/>
  </cols>
  <sheetData>
    <row r="1" spans="1:10" ht="15" customHeight="1" x14ac:dyDescent="0.2">
      <c r="A1" s="297" t="s">
        <v>929</v>
      </c>
      <c r="B1" s="297"/>
      <c r="C1" s="297"/>
      <c r="D1" s="297"/>
      <c r="E1" s="297"/>
      <c r="F1" s="297"/>
      <c r="G1" s="297"/>
      <c r="H1" s="297"/>
      <c r="I1" s="297"/>
      <c r="J1" s="3"/>
    </row>
    <row r="2" spans="1:10" ht="15" customHeight="1" x14ac:dyDescent="0.2">
      <c r="A2" s="298" t="s">
        <v>930</v>
      </c>
      <c r="B2" s="298"/>
      <c r="C2" s="298"/>
      <c r="D2" s="298"/>
      <c r="E2" s="298"/>
      <c r="F2" s="298"/>
      <c r="G2" s="298"/>
      <c r="H2" s="298"/>
      <c r="I2" s="298"/>
      <c r="J2" s="66" t="s">
        <v>70</v>
      </c>
    </row>
    <row r="3" spans="1:10" ht="15" customHeight="1" x14ac:dyDescent="0.2">
      <c r="A3" s="153"/>
      <c r="B3" s="153"/>
      <c r="C3" s="153"/>
      <c r="D3" s="153"/>
      <c r="E3" s="153"/>
      <c r="F3" s="153"/>
      <c r="G3" s="153"/>
      <c r="H3" s="153"/>
      <c r="I3" s="153"/>
      <c r="J3" s="3"/>
    </row>
    <row r="4" spans="1:10" ht="15" customHeight="1" x14ac:dyDescent="0.2">
      <c r="A4" s="305" t="s">
        <v>931</v>
      </c>
      <c r="B4" s="305"/>
      <c r="C4" s="305"/>
      <c r="D4" s="305"/>
      <c r="E4" s="305"/>
      <c r="F4" s="305"/>
      <c r="G4" s="305"/>
      <c r="H4" s="305"/>
      <c r="I4" s="305"/>
      <c r="J4" s="3"/>
    </row>
    <row r="5" spans="1:10" ht="15" customHeight="1" x14ac:dyDescent="0.2">
      <c r="A5" s="155" t="s">
        <v>45</v>
      </c>
      <c r="B5" s="155" t="s">
        <v>932</v>
      </c>
      <c r="C5" s="155" t="s">
        <v>933</v>
      </c>
      <c r="D5" s="155" t="s">
        <v>934</v>
      </c>
      <c r="E5" s="155" t="s">
        <v>935</v>
      </c>
      <c r="F5" s="155" t="s">
        <v>936</v>
      </c>
      <c r="G5" s="155" t="s">
        <v>937</v>
      </c>
      <c r="H5" s="155" t="s">
        <v>938</v>
      </c>
      <c r="I5" s="155" t="s">
        <v>778</v>
      </c>
      <c r="J5" s="3"/>
    </row>
    <row r="6" spans="1:10" ht="15" customHeight="1" x14ac:dyDescent="0.2">
      <c r="A6" s="132" t="s">
        <v>46</v>
      </c>
      <c r="B6" s="130" t="s">
        <v>939</v>
      </c>
      <c r="C6" s="130">
        <v>26</v>
      </c>
      <c r="D6" s="130">
        <f>SUMIFS('User Stories'!E:E,'User Stories'!G:G,A6,'User Stories'!J:J,"Planifié",'User Stories'!F:F,"Terminé")+SUMIFS('User Stories'!E:E,'User Stories'!G:G,A6,'User Stories'!J:J,"Planifié",'User Stories'!F:F,"Livré")</f>
        <v>38</v>
      </c>
      <c r="E6" s="130">
        <f>COUNTIFS('User Stories'!G:G,A6,'User Stories'!J:J,"Planifié")</f>
        <v>9</v>
      </c>
      <c r="F6" s="130">
        <f>COUNTIFS('User Stories'!G:G,A6,'User Stories'!J:J,"Planifié",'User Stories'!F:F,"Terminé")+COUNTIFS('User Stories'!G:G,A6,'User Stories'!J:J,"Planifié",'User Stories'!F:F,"Livré")</f>
        <v>9</v>
      </c>
      <c r="G6" s="130"/>
      <c r="H6" s="130"/>
      <c r="I6" s="130" t="s">
        <v>940</v>
      </c>
      <c r="J6" s="3"/>
    </row>
    <row r="7" spans="1:10" ht="15" customHeight="1" x14ac:dyDescent="0.2">
      <c r="A7" s="137" t="s">
        <v>47</v>
      </c>
      <c r="B7" s="135" t="s">
        <v>941</v>
      </c>
      <c r="C7" s="135">
        <v>25</v>
      </c>
      <c r="D7" s="130">
        <f>SUMIFS('User Stories'!E:E,'User Stories'!G:G,A7,'User Stories'!J:J,"Planifié",'User Stories'!F:F,"Terminé")+SUMIFS('User Stories'!E:E,'User Stories'!G:G,A7,'User Stories'!J:J,"Planifié",'User Stories'!F:F,"Livré")</f>
        <v>23</v>
      </c>
      <c r="E7" s="130">
        <f>COUNTIFS('User Stories'!G:G,A7,'User Stories'!J:J,"Planifié")</f>
        <v>23</v>
      </c>
      <c r="F7" s="130">
        <f>COUNTIFS('User Stories'!G:G,A7,'User Stories'!J:J,"Planifié",'User Stories'!F:F,"Terminé")+COUNTIFS('User Stories'!G:G,A7,'User Stories'!J:J,"Planifié",'User Stories'!F:F,"Livré")</f>
        <v>8</v>
      </c>
      <c r="G7" s="135"/>
      <c r="H7" s="135"/>
      <c r="I7" s="135" t="s">
        <v>942</v>
      </c>
      <c r="J7" s="3"/>
    </row>
    <row r="8" spans="1:10" ht="15" customHeight="1" x14ac:dyDescent="0.2">
      <c r="A8" s="132" t="s">
        <v>48</v>
      </c>
      <c r="B8" s="130" t="s">
        <v>943</v>
      </c>
      <c r="C8" s="130">
        <v>28</v>
      </c>
      <c r="D8" s="130">
        <f>SUMIFS('User Stories'!E:E,'User Stories'!G:G,A8,'User Stories'!J:J,"Planifié",'User Stories'!F:F,"Terminé")+SUMIFS('User Stories'!E:E,'User Stories'!G:G,A8,'User Stories'!J:J,"Planifié",'User Stories'!F:F,"Livré")</f>
        <v>16</v>
      </c>
      <c r="E8" s="130">
        <f>COUNTIFS('User Stories'!G:G,A8,'User Stories'!J:J,"Planifié")</f>
        <v>22</v>
      </c>
      <c r="F8" s="130">
        <f>COUNTIFS('User Stories'!G:G,A8,'User Stories'!J:J,"Planifié",'User Stories'!F:F,"Terminé")+COUNTIFS('User Stories'!G:G,A8,'User Stories'!J:J,"Planifié",'User Stories'!F:F,"Livré")</f>
        <v>5</v>
      </c>
      <c r="G8" s="130"/>
      <c r="H8" s="130"/>
      <c r="I8" s="130" t="s">
        <v>944</v>
      </c>
      <c r="J8" s="3"/>
    </row>
    <row r="9" spans="1:10" ht="15" customHeight="1" x14ac:dyDescent="0.2">
      <c r="A9" s="174" t="s">
        <v>907</v>
      </c>
      <c r="B9" s="174"/>
      <c r="C9" s="174">
        <f>SUM(C6:C8)</f>
        <v>79</v>
      </c>
      <c r="D9" s="174">
        <f>SUM(D6:D8)</f>
        <v>77</v>
      </c>
      <c r="E9" s="174">
        <f>SUM(E6:E8)</f>
        <v>54</v>
      </c>
      <c r="F9" s="174"/>
      <c r="G9" s="174"/>
      <c r="H9" s="174"/>
      <c r="I9" s="174"/>
      <c r="J9" s="3"/>
    </row>
    <row r="10" spans="1:10" ht="15" customHeight="1" x14ac:dyDescent="0.2">
      <c r="A10" s="153"/>
      <c r="B10" s="161"/>
      <c r="C10" s="161"/>
      <c r="D10" s="153"/>
      <c r="E10" s="153"/>
      <c r="F10" s="161"/>
      <c r="G10" s="153"/>
      <c r="H10" s="153"/>
      <c r="I10" s="153"/>
      <c r="J10" s="3"/>
    </row>
    <row r="11" spans="1:10" ht="15" customHeight="1" x14ac:dyDescent="0.2">
      <c r="A11" s="306" t="s">
        <v>945</v>
      </c>
      <c r="B11" s="306"/>
      <c r="C11" s="306"/>
      <c r="D11" s="306"/>
      <c r="E11" s="306"/>
      <c r="F11" s="306"/>
      <c r="G11" s="306"/>
      <c r="H11" s="306"/>
      <c r="I11" s="306"/>
      <c r="J11" s="3"/>
    </row>
    <row r="12" spans="1:10" ht="15" customHeight="1" x14ac:dyDescent="0.2">
      <c r="A12" s="155" t="s">
        <v>45</v>
      </c>
      <c r="B12" s="155" t="s">
        <v>932</v>
      </c>
      <c r="C12" s="155" t="s">
        <v>933</v>
      </c>
      <c r="D12" s="155" t="s">
        <v>934</v>
      </c>
      <c r="E12" s="155" t="s">
        <v>935</v>
      </c>
      <c r="F12" s="155" t="s">
        <v>936</v>
      </c>
      <c r="G12" s="155" t="s">
        <v>937</v>
      </c>
      <c r="H12" s="155" t="s">
        <v>938</v>
      </c>
      <c r="I12" s="155" t="s">
        <v>778</v>
      </c>
      <c r="J12" s="3"/>
    </row>
    <row r="13" spans="1:10" ht="15" customHeight="1" x14ac:dyDescent="0.2">
      <c r="A13" s="132" t="s">
        <v>2435</v>
      </c>
      <c r="B13" s="130" t="s">
        <v>946</v>
      </c>
      <c r="C13" s="130">
        <v>20</v>
      </c>
      <c r="D13" s="130">
        <f>SUMIFS('User Stories'!E:E,'User Stories'!G:G,A13,'User Stories'!J:J,"Planifié",'User Stories'!F:F,"Terminé")+SUMIFS('User Stories'!E:E,'User Stories'!G:G,A13,'User Stories'!J:J,"Planifié",'User Stories'!F:F,"Livré")</f>
        <v>0</v>
      </c>
      <c r="E13" s="130">
        <f>COUNTIFS('User Stories'!G:G,A13,'User Stories'!J:J,"Planifié")</f>
        <v>0</v>
      </c>
      <c r="F13" s="130">
        <f>COUNTIFS('User Stories'!G:G,A13,'User Stories'!J:J,"Planifié",'User Stories'!F:F,"Terminé")+COUNTIFS('User Stories'!G:G,A13,'User Stories'!J:J,"Planifié",'User Stories'!F:F,"Livré")</f>
        <v>0</v>
      </c>
      <c r="G13" s="130"/>
      <c r="H13" s="130"/>
      <c r="I13" s="130" t="s">
        <v>947</v>
      </c>
      <c r="J13" s="3"/>
    </row>
    <row r="14" spans="1:10" ht="15" customHeight="1" x14ac:dyDescent="0.2">
      <c r="A14" s="137" t="s">
        <v>50</v>
      </c>
      <c r="B14" s="135" t="s">
        <v>948</v>
      </c>
      <c r="C14" s="135">
        <v>21</v>
      </c>
      <c r="D14" s="130">
        <f>SUMIFS('User Stories'!E:E,'User Stories'!G:G,A14,'User Stories'!J:J,"Planifié",'User Stories'!F:F,"Terminé")+SUMIFS('User Stories'!E:E,'User Stories'!G:G,A14,'User Stories'!J:J,"Planifié",'User Stories'!F:F,"Livré")</f>
        <v>0</v>
      </c>
      <c r="E14" s="130">
        <f>COUNTIFS('User Stories'!G:G,A14,'User Stories'!J:J,"Planifié")</f>
        <v>0</v>
      </c>
      <c r="F14" s="130">
        <f>COUNTIFS('User Stories'!G:G,A14,'User Stories'!J:J,"Planifié",'User Stories'!F:F,"Terminé")+COUNTIFS('User Stories'!G:G,A14,'User Stories'!J:J,"Planifié",'User Stories'!F:F,"Livré")</f>
        <v>0</v>
      </c>
      <c r="G14" s="135"/>
      <c r="H14" s="135"/>
      <c r="I14" s="135" t="s">
        <v>949</v>
      </c>
      <c r="J14" s="3"/>
    </row>
    <row r="15" spans="1:10" ht="15" customHeight="1" x14ac:dyDescent="0.2">
      <c r="A15" s="132" t="s">
        <v>51</v>
      </c>
      <c r="B15" s="130" t="s">
        <v>950</v>
      </c>
      <c r="C15" s="130">
        <v>20</v>
      </c>
      <c r="D15" s="130">
        <f>SUMIFS('User Stories'!E:E,'User Stories'!G:G,A15,'User Stories'!J:J,"Planifié",'User Stories'!F:F,"Terminé")+SUMIFS('User Stories'!E:E,'User Stories'!G:G,A15,'User Stories'!J:J,"Planifié",'User Stories'!F:F,"Livré")</f>
        <v>0</v>
      </c>
      <c r="E15" s="130">
        <f>COUNTIFS('User Stories'!G:G,A15,'User Stories'!J:J,"Planifié")</f>
        <v>0</v>
      </c>
      <c r="F15" s="130">
        <f>COUNTIFS('User Stories'!G:G,A15,'User Stories'!J:J,"Planifié",'User Stories'!F:F,"Terminé")+COUNTIFS('User Stories'!G:G,A15,'User Stories'!J:J,"Planifié",'User Stories'!F:F,"Livré")</f>
        <v>0</v>
      </c>
      <c r="G15" s="130"/>
      <c r="H15" s="130"/>
      <c r="I15" s="130" t="s">
        <v>951</v>
      </c>
      <c r="J15" s="3"/>
    </row>
    <row r="16" spans="1:10" ht="15" customHeight="1" x14ac:dyDescent="0.2">
      <c r="A16" s="175" t="s">
        <v>952</v>
      </c>
      <c r="B16" s="175"/>
      <c r="C16" s="175">
        <f>SUM(C13:C15)</f>
        <v>61</v>
      </c>
      <c r="D16" s="175">
        <f>SUM(D13:D15)</f>
        <v>0</v>
      </c>
      <c r="E16" s="175"/>
      <c r="F16" s="175"/>
      <c r="G16" s="175"/>
      <c r="H16" s="175"/>
      <c r="I16" s="175"/>
      <c r="J16" s="3"/>
    </row>
    <row r="17" spans="1:10" ht="15" customHeight="1" x14ac:dyDescent="0.2">
      <c r="A17" s="153"/>
      <c r="B17" s="161"/>
      <c r="C17" s="161"/>
      <c r="D17" s="153"/>
      <c r="E17" s="153"/>
      <c r="F17" s="161"/>
      <c r="G17" s="153"/>
      <c r="H17" s="153"/>
      <c r="I17" s="153"/>
      <c r="J17" s="3"/>
    </row>
    <row r="18" spans="1:10" ht="15" customHeight="1" x14ac:dyDescent="0.2">
      <c r="A18" s="307" t="s">
        <v>953</v>
      </c>
      <c r="B18" s="307"/>
      <c r="C18" s="307"/>
      <c r="D18" s="307"/>
      <c r="E18" s="307"/>
      <c r="F18" s="307"/>
      <c r="G18" s="307"/>
      <c r="H18" s="307"/>
      <c r="I18" s="307"/>
      <c r="J18" s="3"/>
    </row>
    <row r="19" spans="1:10" ht="15" customHeight="1" x14ac:dyDescent="0.2">
      <c r="A19" s="155" t="s">
        <v>45</v>
      </c>
      <c r="B19" s="155" t="s">
        <v>932</v>
      </c>
      <c r="C19" s="155" t="s">
        <v>933</v>
      </c>
      <c r="D19" s="155" t="s">
        <v>934</v>
      </c>
      <c r="E19" s="155" t="s">
        <v>935</v>
      </c>
      <c r="F19" s="155" t="s">
        <v>936</v>
      </c>
      <c r="G19" s="155" t="s">
        <v>937</v>
      </c>
      <c r="H19" s="155" t="s">
        <v>938</v>
      </c>
      <c r="I19" s="155" t="s">
        <v>778</v>
      </c>
      <c r="J19" s="3"/>
    </row>
    <row r="20" spans="1:10" ht="15" customHeight="1" x14ac:dyDescent="0.2">
      <c r="A20" s="132" t="s">
        <v>2496</v>
      </c>
      <c r="B20" s="130" t="s">
        <v>954</v>
      </c>
      <c r="C20" s="130">
        <v>17</v>
      </c>
      <c r="D20" s="130">
        <f>SUMIFS('User Stories'!E:E,'User Stories'!G:G,A20,'User Stories'!J:J,"Planifié",'User Stories'!F:F,"Terminé")+SUMIFS('User Stories'!E:E,'User Stories'!G:G,A20,'User Stories'!J:J,"Planifié",'User Stories'!F:F,"Livré")</f>
        <v>0</v>
      </c>
      <c r="E20" s="130">
        <f>COUNTIFS('User Stories'!G:G,A20,'User Stories'!J:J,"Planifié")</f>
        <v>0</v>
      </c>
      <c r="F20" s="130">
        <f>COUNTIFS('User Stories'!G:G,A20,'User Stories'!J:J,"Planifié",'User Stories'!F:F,"Terminé")+COUNTIFS('User Stories'!G:G,A20,'User Stories'!J:J,"Planifié",'User Stories'!F:F,"Livré")</f>
        <v>0</v>
      </c>
      <c r="G20" s="130"/>
      <c r="H20" s="130"/>
      <c r="I20" s="130" t="s">
        <v>955</v>
      </c>
      <c r="J20" s="3"/>
    </row>
    <row r="21" spans="1:10" ht="15" customHeight="1" x14ac:dyDescent="0.2">
      <c r="A21" s="137" t="s">
        <v>2497</v>
      </c>
      <c r="B21" s="135" t="s">
        <v>956</v>
      </c>
      <c r="C21" s="135">
        <v>17</v>
      </c>
      <c r="D21" s="130">
        <f>SUMIFS('User Stories'!E:E,'User Stories'!G:G,A21,'User Stories'!J:J,"Planifié",'User Stories'!F:F,"Terminé")+SUMIFS('User Stories'!E:E,'User Stories'!G:G,A21,'User Stories'!J:J,"Planifié",'User Stories'!F:F,"Livré")</f>
        <v>0</v>
      </c>
      <c r="E21" s="130">
        <f>COUNTIFS('User Stories'!G:G,A21,'User Stories'!J:J,"Planifié")</f>
        <v>0</v>
      </c>
      <c r="F21" s="130">
        <f>COUNTIFS('User Stories'!G:G,A21,'User Stories'!J:J,"Planifié",'User Stories'!F:F,"Terminé")+COUNTIFS('User Stories'!G:G,A21,'User Stories'!J:J,"Planifié",'User Stories'!F:F,"Livré")</f>
        <v>0</v>
      </c>
      <c r="G21" s="135"/>
      <c r="H21" s="135"/>
      <c r="I21" s="135" t="s">
        <v>957</v>
      </c>
      <c r="J21" s="3"/>
    </row>
    <row r="22" spans="1:10" ht="15" customHeight="1" x14ac:dyDescent="0.2">
      <c r="A22" s="132" t="s">
        <v>2498</v>
      </c>
      <c r="B22" s="130" t="s">
        <v>958</v>
      </c>
      <c r="C22" s="130">
        <v>17</v>
      </c>
      <c r="D22" s="130">
        <f>SUMIFS('User Stories'!E:E,'User Stories'!G:G,A22,'User Stories'!J:J,"Planifié",'User Stories'!F:F,"Terminé")+SUMIFS('User Stories'!E:E,'User Stories'!G:G,A22,'User Stories'!J:J,"Planifié",'User Stories'!F:F,"Livré")</f>
        <v>0</v>
      </c>
      <c r="E22" s="130">
        <f>COUNTIFS('User Stories'!G:G,A22,'User Stories'!J:J,"Planifié")</f>
        <v>0</v>
      </c>
      <c r="F22" s="130">
        <f>COUNTIFS('User Stories'!G:G,A22,'User Stories'!J:J,"Planifié",'User Stories'!F:F,"Terminé")+COUNTIFS('User Stories'!G:G,A22,'User Stories'!J:J,"Planifié",'User Stories'!F:F,"Livré")</f>
        <v>0</v>
      </c>
      <c r="G22" s="176"/>
      <c r="H22" s="130"/>
      <c r="I22" s="130" t="s">
        <v>959</v>
      </c>
      <c r="J22" s="3"/>
    </row>
    <row r="23" spans="1:10" ht="15" customHeight="1" x14ac:dyDescent="0.2">
      <c r="A23" s="177" t="s">
        <v>960</v>
      </c>
      <c r="B23" s="177"/>
      <c r="C23" s="177">
        <v>51</v>
      </c>
      <c r="D23" s="177">
        <f>SUM(D20:D22)</f>
        <v>0</v>
      </c>
      <c r="E23" s="177"/>
      <c r="F23" s="178"/>
      <c r="G23" s="179"/>
      <c r="H23" s="177"/>
      <c r="I23" s="177"/>
      <c r="J23" s="3"/>
    </row>
    <row r="24" spans="1:10" ht="15" customHeight="1" x14ac:dyDescent="0.2">
      <c r="A24" s="153"/>
      <c r="B24" s="161"/>
      <c r="C24" s="161"/>
      <c r="D24" s="161"/>
      <c r="E24" s="161"/>
      <c r="F24" s="180"/>
      <c r="G24" s="181"/>
      <c r="H24" s="153"/>
      <c r="I24" s="153"/>
      <c r="J24" s="3"/>
    </row>
    <row r="25" spans="1:10" ht="15" customHeight="1" x14ac:dyDescent="0.2">
      <c r="A25" s="304" t="s">
        <v>961</v>
      </c>
      <c r="B25" s="304"/>
      <c r="C25" s="304"/>
      <c r="D25" s="304"/>
      <c r="E25" s="304"/>
      <c r="F25" s="304"/>
      <c r="G25" s="304"/>
      <c r="H25" s="304"/>
      <c r="I25" s="304"/>
      <c r="J25" s="3"/>
    </row>
    <row r="26" spans="1:10" ht="15" customHeight="1" x14ac:dyDescent="0.2">
      <c r="A26" s="155" t="s">
        <v>962</v>
      </c>
      <c r="B26" s="155" t="s">
        <v>963</v>
      </c>
      <c r="C26" s="155" t="s">
        <v>964</v>
      </c>
      <c r="D26" s="155" t="s">
        <v>965</v>
      </c>
      <c r="E26" s="155" t="s">
        <v>966</v>
      </c>
      <c r="F26" s="155"/>
      <c r="G26" s="155"/>
      <c r="H26" s="155"/>
      <c r="I26" s="155"/>
      <c r="J26" s="3"/>
    </row>
    <row r="27" spans="1:10" ht="15" customHeight="1" x14ac:dyDescent="0.2">
      <c r="A27" s="170" t="s">
        <v>967</v>
      </c>
      <c r="B27" s="170" t="s">
        <v>968</v>
      </c>
      <c r="C27" s="170">
        <v>18</v>
      </c>
      <c r="D27" s="170" t="s">
        <v>969</v>
      </c>
      <c r="E27" s="170" t="s">
        <v>970</v>
      </c>
      <c r="F27" s="170"/>
      <c r="G27" s="170"/>
      <c r="H27" s="170"/>
      <c r="I27" s="170"/>
      <c r="J27" s="3"/>
    </row>
    <row r="28" spans="1:10" ht="15" customHeight="1" x14ac:dyDescent="0.2">
      <c r="A28" s="170" t="s">
        <v>971</v>
      </c>
      <c r="B28" s="170" t="s">
        <v>972</v>
      </c>
      <c r="C28" s="170">
        <v>8</v>
      </c>
      <c r="D28" s="170" t="s">
        <v>973</v>
      </c>
      <c r="E28" s="170" t="s">
        <v>974</v>
      </c>
      <c r="F28" s="170"/>
      <c r="G28" s="170"/>
      <c r="H28" s="170"/>
      <c r="I28" s="170"/>
      <c r="J28" s="3"/>
    </row>
    <row r="29" spans="1:10" ht="15" customHeight="1" x14ac:dyDescent="0.2">
      <c r="A29" s="171" t="s">
        <v>24</v>
      </c>
      <c r="B29" s="171"/>
      <c r="C29" s="171">
        <v>26</v>
      </c>
      <c r="D29" s="171"/>
      <c r="E29" s="171"/>
      <c r="F29" s="171"/>
      <c r="G29" s="171"/>
      <c r="H29" s="171"/>
      <c r="I29" s="171"/>
      <c r="J29" s="3"/>
    </row>
    <row r="30" spans="1:10" ht="15" customHeight="1" x14ac:dyDescent="0.2">
      <c r="A30" s="153"/>
      <c r="B30" s="153"/>
      <c r="C30" s="161"/>
      <c r="D30" s="153"/>
      <c r="E30" s="153"/>
      <c r="F30" s="153"/>
      <c r="G30" s="153"/>
      <c r="H30" s="153"/>
      <c r="I30" s="153"/>
      <c r="J30" s="3"/>
    </row>
    <row r="31" spans="1:10" ht="15" customHeight="1" x14ac:dyDescent="0.2">
      <c r="A31" s="304" t="s">
        <v>975</v>
      </c>
      <c r="B31" s="304"/>
      <c r="C31" s="304"/>
      <c r="D31" s="304"/>
      <c r="E31" s="304"/>
      <c r="F31" s="304"/>
      <c r="G31" s="304"/>
      <c r="H31" s="304"/>
      <c r="I31" s="304"/>
      <c r="J31" s="3"/>
    </row>
    <row r="32" spans="1:10" ht="15" customHeight="1" x14ac:dyDescent="0.2">
      <c r="A32" s="155" t="s">
        <v>976</v>
      </c>
      <c r="B32" s="155" t="s">
        <v>977</v>
      </c>
      <c r="C32" s="155" t="s">
        <v>978</v>
      </c>
      <c r="D32" s="155" t="s">
        <v>879</v>
      </c>
      <c r="E32" s="155"/>
      <c r="F32" s="155"/>
      <c r="G32" s="155"/>
      <c r="H32" s="155"/>
      <c r="I32" s="155"/>
      <c r="J32" s="3"/>
    </row>
    <row r="33" spans="1:10" ht="23.25" customHeight="1" x14ac:dyDescent="0.2">
      <c r="A33" s="170" t="s">
        <v>979</v>
      </c>
      <c r="B33" s="170" t="s">
        <v>980</v>
      </c>
      <c r="C33" s="170" t="s">
        <v>981</v>
      </c>
      <c r="D33" s="170" t="s">
        <v>982</v>
      </c>
      <c r="E33" s="170"/>
      <c r="F33" s="170"/>
      <c r="G33" s="170"/>
      <c r="H33" s="170"/>
      <c r="I33" s="170"/>
      <c r="J33" s="3"/>
    </row>
    <row r="34" spans="1:10" ht="23.25" customHeight="1" x14ac:dyDescent="0.2">
      <c r="A34" s="170" t="s">
        <v>983</v>
      </c>
      <c r="B34" s="170" t="s">
        <v>984</v>
      </c>
      <c r="C34" s="170" t="s">
        <v>985</v>
      </c>
      <c r="D34" s="170" t="s">
        <v>986</v>
      </c>
      <c r="E34" s="170"/>
      <c r="F34" s="170"/>
      <c r="G34" s="170"/>
      <c r="H34" s="170"/>
      <c r="I34" s="170"/>
      <c r="J34" s="3"/>
    </row>
    <row r="35" spans="1:10" ht="23.25" customHeight="1" x14ac:dyDescent="0.2">
      <c r="A35" s="170" t="s">
        <v>987</v>
      </c>
      <c r="B35" s="170" t="s">
        <v>988</v>
      </c>
      <c r="C35" s="170" t="s">
        <v>989</v>
      </c>
      <c r="D35" s="170" t="s">
        <v>990</v>
      </c>
      <c r="E35" s="170"/>
      <c r="F35" s="170"/>
      <c r="G35" s="170"/>
      <c r="H35" s="170"/>
      <c r="I35" s="170"/>
      <c r="J35" s="3"/>
    </row>
    <row r="36" spans="1:10" ht="15" customHeight="1" x14ac:dyDescent="0.2">
      <c r="A36" s="170" t="s">
        <v>991</v>
      </c>
      <c r="B36" s="170"/>
      <c r="C36" s="170" t="s">
        <v>992</v>
      </c>
      <c r="D36" s="170" t="s">
        <v>993</v>
      </c>
      <c r="E36" s="170"/>
      <c r="F36" s="170"/>
      <c r="G36" s="170"/>
      <c r="H36" s="170"/>
      <c r="I36" s="170"/>
      <c r="J36" s="3"/>
    </row>
  </sheetData>
  <mergeCells count="7">
    <mergeCell ref="A25:I25"/>
    <mergeCell ref="A31:I31"/>
    <mergeCell ref="A1:I1"/>
    <mergeCell ref="A2:I2"/>
    <mergeCell ref="A4:I4"/>
    <mergeCell ref="A11:I11"/>
    <mergeCell ref="A18:I18"/>
  </mergeCells>
  <hyperlinks>
    <hyperlink ref="A1" location="Dashboard!A1" display="Sprint Tracker — PI-1 à PI-3" xr:uid="{00000000-0004-0000-0900-000000000000}"/>
    <hyperlink ref="J2" r:id="rId1" location="Dashboard!A1" xr:uid="{00000000-0004-0000-0900-000001000000}"/>
  </hyperlinks>
  <pageMargins left="0.75" right="0.75" top="1" bottom="1" header="0.511811023622047" footer="0.511811023622047"/>
  <pageSetup paperSize="9" orientation="portrait" horizontalDpi="300" verticalDpi="30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7"/>
  <sheetViews>
    <sheetView zoomScaleNormal="100" workbookViewId="0">
      <pane ySplit="3" topLeftCell="A4" activePane="bottomLeft" state="frozen"/>
      <selection pane="bottomLeft" sqref="A1:H1"/>
    </sheetView>
  </sheetViews>
  <sheetFormatPr baseColWidth="10" defaultColWidth="8.6640625" defaultRowHeight="15" x14ac:dyDescent="0.2"/>
  <cols>
    <col min="1" max="1" width="33.5" bestFit="1" customWidth="1"/>
    <col min="2" max="2" width="38" bestFit="1" customWidth="1"/>
    <col min="3" max="3" width="18" customWidth="1"/>
    <col min="4" max="4" width="13.6640625" bestFit="1" customWidth="1"/>
    <col min="5" max="5" width="41" bestFit="1" customWidth="1"/>
    <col min="6" max="6" width="13.33203125" bestFit="1" customWidth="1"/>
    <col min="7" max="7" width="13.1640625" bestFit="1" customWidth="1"/>
    <col min="8" max="8" width="15.6640625" bestFit="1" customWidth="1"/>
    <col min="9" max="9" width="11.5" bestFit="1" customWidth="1"/>
  </cols>
  <sheetData>
    <row r="1" spans="1:9" ht="18" x14ac:dyDescent="0.2">
      <c r="A1" s="297" t="s">
        <v>1043</v>
      </c>
      <c r="B1" s="297"/>
      <c r="C1" s="297"/>
      <c r="D1" s="297"/>
      <c r="E1" s="297"/>
      <c r="F1" s="297"/>
      <c r="G1" s="297"/>
      <c r="H1" s="297"/>
      <c r="I1" s="3"/>
    </row>
    <row r="2" spans="1:9" x14ac:dyDescent="0.2">
      <c r="A2" s="308" t="s">
        <v>1044</v>
      </c>
      <c r="B2" s="308"/>
      <c r="C2" s="308"/>
      <c r="D2" s="308"/>
      <c r="E2" s="308"/>
      <c r="F2" s="308"/>
      <c r="G2" s="308"/>
      <c r="H2" s="308"/>
      <c r="I2" s="66" t="s">
        <v>70</v>
      </c>
    </row>
    <row r="3" spans="1:9" x14ac:dyDescent="0.2">
      <c r="A3" s="154"/>
      <c r="B3" s="3"/>
      <c r="C3" s="3"/>
      <c r="D3" s="3"/>
      <c r="E3" s="3"/>
      <c r="F3" s="3"/>
      <c r="G3" s="3"/>
      <c r="H3" s="3"/>
      <c r="I3" s="3"/>
    </row>
    <row r="4" spans="1:9" x14ac:dyDescent="0.2">
      <c r="A4" s="299" t="s">
        <v>1045</v>
      </c>
      <c r="B4" s="299"/>
      <c r="C4" s="299"/>
      <c r="D4" s="299"/>
      <c r="E4" s="299"/>
      <c r="F4" s="299"/>
      <c r="G4" s="299"/>
      <c r="H4" s="299"/>
      <c r="I4" s="3"/>
    </row>
    <row r="5" spans="1:9" x14ac:dyDescent="0.2">
      <c r="A5" s="155" t="s">
        <v>1046</v>
      </c>
      <c r="B5" s="155" t="s">
        <v>417</v>
      </c>
      <c r="C5" s="155" t="s">
        <v>1047</v>
      </c>
      <c r="D5" s="170"/>
      <c r="E5" s="170"/>
      <c r="F5" s="170"/>
      <c r="G5" s="170"/>
      <c r="H5" s="170"/>
      <c r="I5" s="3"/>
    </row>
    <row r="6" spans="1:9" ht="30" x14ac:dyDescent="0.2">
      <c r="A6" s="216" t="s">
        <v>1048</v>
      </c>
      <c r="B6" s="216" t="s">
        <v>435</v>
      </c>
      <c r="C6" s="216" t="s">
        <v>1049</v>
      </c>
      <c r="D6" s="170"/>
      <c r="E6" s="170"/>
      <c r="F6" s="170"/>
      <c r="G6" s="170"/>
      <c r="H6" s="170"/>
      <c r="I6" s="3"/>
    </row>
    <row r="7" spans="1:9" ht="45" x14ac:dyDescent="0.2">
      <c r="A7" s="216" t="s">
        <v>1050</v>
      </c>
      <c r="B7" s="216" t="s">
        <v>435</v>
      </c>
      <c r="C7" s="216" t="s">
        <v>1051</v>
      </c>
      <c r="D7" s="170"/>
      <c r="E7" s="170"/>
      <c r="F7" s="170"/>
      <c r="G7" s="170"/>
      <c r="H7" s="170"/>
      <c r="I7" s="3"/>
    </row>
    <row r="8" spans="1:9" ht="45" x14ac:dyDescent="0.2">
      <c r="A8" s="216" t="s">
        <v>1052</v>
      </c>
      <c r="B8" s="216" t="s">
        <v>1053</v>
      </c>
      <c r="C8" s="216" t="s">
        <v>1054</v>
      </c>
      <c r="D8" s="170"/>
      <c r="E8" s="170"/>
      <c r="F8" s="170"/>
      <c r="G8" s="170"/>
      <c r="H8" s="170"/>
      <c r="I8" s="3"/>
    </row>
    <row r="9" spans="1:9" ht="45" x14ac:dyDescent="0.2">
      <c r="A9" s="216" t="s">
        <v>1055</v>
      </c>
      <c r="B9" s="216" t="s">
        <v>439</v>
      </c>
      <c r="C9" s="216" t="s">
        <v>1056</v>
      </c>
      <c r="D9" s="3"/>
      <c r="E9" s="3"/>
      <c r="F9" s="3"/>
      <c r="G9" s="3"/>
      <c r="H9" s="3"/>
      <c r="I9" s="3"/>
    </row>
    <row r="10" spans="1:9" x14ac:dyDescent="0.2">
      <c r="A10" s="154"/>
      <c r="B10" s="3"/>
      <c r="C10" s="3"/>
      <c r="D10" s="3"/>
      <c r="E10" s="3"/>
      <c r="F10" s="3"/>
      <c r="G10" s="3"/>
      <c r="H10" s="3"/>
      <c r="I10" s="3"/>
    </row>
    <row r="11" spans="1:9" x14ac:dyDescent="0.2">
      <c r="A11" s="299" t="s">
        <v>1057</v>
      </c>
      <c r="B11" s="299"/>
      <c r="C11" s="299"/>
      <c r="D11" s="299"/>
      <c r="E11" s="299"/>
      <c r="F11" s="299"/>
      <c r="G11" s="299"/>
      <c r="H11" s="299"/>
      <c r="I11" s="3"/>
    </row>
    <row r="12" spans="1:9" x14ac:dyDescent="0.2">
      <c r="A12" s="309" t="s">
        <v>1058</v>
      </c>
      <c r="B12" s="309"/>
      <c r="C12" s="309"/>
      <c r="D12" s="309"/>
      <c r="E12" s="309"/>
      <c r="F12" s="309"/>
      <c r="G12" s="309"/>
      <c r="H12" s="309"/>
      <c r="I12" s="3"/>
    </row>
    <row r="13" spans="1:9" x14ac:dyDescent="0.2">
      <c r="A13" s="310" t="s">
        <v>1059</v>
      </c>
      <c r="B13" s="310"/>
      <c r="C13" s="310"/>
      <c r="D13" s="310"/>
      <c r="E13" s="310"/>
      <c r="F13" s="310"/>
      <c r="G13" s="310"/>
      <c r="H13" s="310"/>
      <c r="I13" s="3"/>
    </row>
    <row r="14" spans="1:9" x14ac:dyDescent="0.2">
      <c r="A14" s="155" t="s">
        <v>413</v>
      </c>
      <c r="B14" s="155" t="s">
        <v>873</v>
      </c>
      <c r="C14" s="155" t="s">
        <v>190</v>
      </c>
      <c r="D14" s="155" t="s">
        <v>909</v>
      </c>
      <c r="E14" s="155" t="s">
        <v>1060</v>
      </c>
      <c r="F14" s="155" t="s">
        <v>877</v>
      </c>
      <c r="G14" s="155" t="s">
        <v>879</v>
      </c>
      <c r="H14" s="155" t="s">
        <v>875</v>
      </c>
      <c r="I14" s="3"/>
    </row>
    <row r="15" spans="1:9" ht="30" x14ac:dyDescent="0.2">
      <c r="A15" s="217">
        <v>1</v>
      </c>
      <c r="B15" s="218" t="s">
        <v>1061</v>
      </c>
      <c r="C15" s="217" t="s">
        <v>592</v>
      </c>
      <c r="D15" s="217">
        <f>'PI Objectives'!E15</f>
        <v>9</v>
      </c>
      <c r="E15" s="218"/>
      <c r="F15" s="217"/>
      <c r="G15" s="218"/>
      <c r="H15" s="218" t="s">
        <v>883</v>
      </c>
      <c r="I15" s="3"/>
    </row>
    <row r="16" spans="1:9" ht="30" x14ac:dyDescent="0.2">
      <c r="A16" s="219">
        <v>2</v>
      </c>
      <c r="B16" s="216" t="s">
        <v>1062</v>
      </c>
      <c r="C16" s="219" t="s">
        <v>587</v>
      </c>
      <c r="D16" s="217">
        <f>'PI Objectives'!E16</f>
        <v>10</v>
      </c>
      <c r="E16" s="216"/>
      <c r="F16" s="219"/>
      <c r="G16" s="216"/>
      <c r="H16" s="216" t="s">
        <v>885</v>
      </c>
      <c r="I16" s="3"/>
    </row>
    <row r="17" spans="1:9" x14ac:dyDescent="0.2">
      <c r="A17" s="219">
        <v>3</v>
      </c>
      <c r="B17" s="216" t="s">
        <v>1063</v>
      </c>
      <c r="C17" s="219" t="s">
        <v>608</v>
      </c>
      <c r="D17" s="217">
        <f>'PI Objectives'!E17</f>
        <v>8</v>
      </c>
      <c r="E17" s="216"/>
      <c r="F17" s="219"/>
      <c r="G17" s="216"/>
      <c r="H17" s="216" t="s">
        <v>887</v>
      </c>
      <c r="I17" s="3"/>
    </row>
    <row r="18" spans="1:9" x14ac:dyDescent="0.2">
      <c r="A18" s="219">
        <v>4</v>
      </c>
      <c r="B18" s="216" t="s">
        <v>1064</v>
      </c>
      <c r="C18" s="219" t="s">
        <v>615</v>
      </c>
      <c r="D18" s="217">
        <f>'PI Objectives'!E18</f>
        <v>10</v>
      </c>
      <c r="E18" s="216"/>
      <c r="F18" s="219"/>
      <c r="G18" s="216"/>
      <c r="H18" s="216" t="s">
        <v>891</v>
      </c>
      <c r="I18" s="3"/>
    </row>
    <row r="19" spans="1:9" x14ac:dyDescent="0.2">
      <c r="A19" s="311" t="s">
        <v>1065</v>
      </c>
      <c r="B19" s="311"/>
      <c r="C19" s="311"/>
      <c r="D19" s="311"/>
      <c r="E19" s="311"/>
      <c r="F19" s="311"/>
      <c r="G19" s="311"/>
      <c r="H19" s="311"/>
      <c r="I19" s="3"/>
    </row>
    <row r="20" spans="1:9" x14ac:dyDescent="0.2">
      <c r="A20" s="220" t="s">
        <v>413</v>
      </c>
      <c r="B20" s="220" t="s">
        <v>873</v>
      </c>
      <c r="C20" s="220" t="s">
        <v>190</v>
      </c>
      <c r="D20" s="220" t="s">
        <v>909</v>
      </c>
      <c r="E20" s="220" t="s">
        <v>1060</v>
      </c>
      <c r="F20" s="220" t="s">
        <v>877</v>
      </c>
      <c r="G20" s="220" t="s">
        <v>879</v>
      </c>
      <c r="H20" s="220" t="s">
        <v>875</v>
      </c>
      <c r="I20" s="3"/>
    </row>
    <row r="21" spans="1:9" x14ac:dyDescent="0.2">
      <c r="A21" s="219">
        <v>5</v>
      </c>
      <c r="B21" s="216" t="s">
        <v>1066</v>
      </c>
      <c r="C21" s="219" t="s">
        <v>600</v>
      </c>
      <c r="D21" s="217">
        <f>'PI Objectives'!E23</f>
        <v>4</v>
      </c>
      <c r="E21" s="216"/>
      <c r="F21" s="219"/>
      <c r="G21" s="216"/>
      <c r="H21" s="216" t="s">
        <v>836</v>
      </c>
      <c r="I21" s="3"/>
    </row>
    <row r="22" spans="1:9" x14ac:dyDescent="0.2">
      <c r="A22" s="219">
        <v>6</v>
      </c>
      <c r="B22" s="216" t="s">
        <v>1067</v>
      </c>
      <c r="C22" s="219" t="s">
        <v>605</v>
      </c>
      <c r="D22" s="217">
        <f>'PI Objectives'!E24</f>
        <v>3</v>
      </c>
      <c r="E22" s="216"/>
      <c r="F22" s="219"/>
      <c r="G22" s="216"/>
      <c r="H22" s="216" t="s">
        <v>815</v>
      </c>
      <c r="I22" s="3"/>
    </row>
    <row r="23" spans="1:9" x14ac:dyDescent="0.2">
      <c r="A23" s="170"/>
      <c r="B23" s="170"/>
      <c r="C23" s="170"/>
      <c r="D23" s="170"/>
      <c r="E23" s="170"/>
      <c r="F23" s="170"/>
      <c r="G23" s="170"/>
      <c r="H23" s="170"/>
      <c r="I23" s="3"/>
    </row>
    <row r="24" spans="1:9" x14ac:dyDescent="0.2">
      <c r="A24" s="299" t="s">
        <v>1068</v>
      </c>
      <c r="B24" s="299"/>
      <c r="C24" s="299"/>
      <c r="D24" s="299"/>
      <c r="E24" s="299"/>
      <c r="F24" s="299"/>
      <c r="G24" s="299"/>
      <c r="H24" s="299"/>
      <c r="I24" s="3"/>
    </row>
    <row r="25" spans="1:9" x14ac:dyDescent="0.2">
      <c r="A25" s="221" t="s">
        <v>1069</v>
      </c>
      <c r="B25" s="3"/>
      <c r="C25" s="3"/>
      <c r="D25" s="3"/>
      <c r="E25" s="221" t="s">
        <v>1070</v>
      </c>
      <c r="F25" s="3"/>
      <c r="G25" s="3"/>
      <c r="H25" s="3"/>
      <c r="I25" s="3"/>
    </row>
    <row r="26" spans="1:9" x14ac:dyDescent="0.2">
      <c r="A26" s="222" t="s">
        <v>1071</v>
      </c>
      <c r="B26" s="3"/>
      <c r="C26" s="3"/>
      <c r="D26" s="3"/>
      <c r="E26" s="221" t="s">
        <v>1072</v>
      </c>
      <c r="F26" s="3"/>
      <c r="G26" s="3"/>
      <c r="H26" s="3"/>
      <c r="I26" s="3"/>
    </row>
    <row r="27" spans="1:9" x14ac:dyDescent="0.2">
      <c r="A27" s="221" t="s">
        <v>1073</v>
      </c>
      <c r="B27" s="3"/>
      <c r="C27" s="3"/>
      <c r="D27" s="3"/>
      <c r="E27" s="221" t="s">
        <v>1074</v>
      </c>
      <c r="F27" s="3"/>
      <c r="G27" s="3"/>
      <c r="H27" s="3"/>
      <c r="I27" s="3"/>
    </row>
    <row r="28" spans="1:9" x14ac:dyDescent="0.2">
      <c r="A28" s="221" t="s">
        <v>1075</v>
      </c>
      <c r="B28" s="3"/>
      <c r="C28" s="3"/>
      <c r="D28" s="3"/>
      <c r="E28" s="221" t="s">
        <v>1076</v>
      </c>
      <c r="F28" s="3"/>
      <c r="G28" s="3"/>
      <c r="H28" s="3"/>
      <c r="I28" s="3"/>
    </row>
    <row r="29" spans="1:9" x14ac:dyDescent="0.2">
      <c r="A29" s="223" t="s">
        <v>1077</v>
      </c>
      <c r="B29" s="3"/>
      <c r="C29" s="3"/>
      <c r="D29" s="3"/>
      <c r="E29" s="221" t="s">
        <v>1078</v>
      </c>
      <c r="F29" s="3"/>
      <c r="G29" s="3"/>
      <c r="H29" s="3"/>
      <c r="I29" s="3"/>
    </row>
    <row r="30" spans="1:9" ht="28" x14ac:dyDescent="0.2">
      <c r="A30" s="224" t="s">
        <v>1079</v>
      </c>
      <c r="B30" s="155"/>
      <c r="C30" s="155"/>
      <c r="D30" s="155"/>
      <c r="E30" s="224" t="s">
        <v>1080</v>
      </c>
      <c r="F30" s="155"/>
      <c r="G30" s="155"/>
      <c r="H30" s="155"/>
      <c r="I30" s="3"/>
    </row>
    <row r="31" spans="1:9" x14ac:dyDescent="0.2">
      <c r="A31" s="170"/>
      <c r="B31" s="170"/>
      <c r="C31" s="170"/>
      <c r="D31" s="170"/>
      <c r="E31" s="170"/>
      <c r="F31" s="170"/>
      <c r="G31" s="170"/>
      <c r="H31" s="170"/>
      <c r="I31" s="3"/>
    </row>
    <row r="32" spans="1:9" x14ac:dyDescent="0.2">
      <c r="A32" s="299" t="s">
        <v>1081</v>
      </c>
      <c r="B32" s="299"/>
      <c r="C32" s="299"/>
      <c r="D32" s="299"/>
      <c r="E32" s="299"/>
      <c r="F32" s="299"/>
      <c r="G32" s="299"/>
      <c r="H32" s="299"/>
      <c r="I32" s="3"/>
    </row>
    <row r="33" spans="1:9" x14ac:dyDescent="0.2">
      <c r="A33" s="225" t="s">
        <v>1082</v>
      </c>
      <c r="B33" s="170"/>
      <c r="C33" s="170"/>
      <c r="D33" s="170"/>
      <c r="E33" s="170"/>
      <c r="F33" s="170"/>
      <c r="G33" s="170"/>
      <c r="H33" s="170"/>
      <c r="I33" s="3"/>
    </row>
    <row r="34" spans="1:9" x14ac:dyDescent="0.2">
      <c r="A34" s="155" t="s">
        <v>45</v>
      </c>
      <c r="B34" s="155" t="s">
        <v>932</v>
      </c>
      <c r="C34" s="155" t="s">
        <v>933</v>
      </c>
      <c r="D34" s="155" t="s">
        <v>1083</v>
      </c>
      <c r="E34" s="155" t="s">
        <v>938</v>
      </c>
      <c r="F34" s="155" t="s">
        <v>936</v>
      </c>
      <c r="G34" s="155" t="s">
        <v>1084</v>
      </c>
      <c r="H34" s="170"/>
      <c r="I34" s="3"/>
    </row>
    <row r="35" spans="1:9" x14ac:dyDescent="0.2">
      <c r="A35" s="219" t="s">
        <v>1085</v>
      </c>
      <c r="B35" s="219" t="s">
        <v>1086</v>
      </c>
      <c r="C35" s="219">
        <f>'Sprint Tracker'!C6</f>
        <v>26</v>
      </c>
      <c r="D35" s="219">
        <f>'Sprint Tracker'!D6</f>
        <v>38</v>
      </c>
      <c r="E35" s="261">
        <f>IF(C35=0,"-",D35/C35)</f>
        <v>1.4615384615384615</v>
      </c>
      <c r="F35" s="219">
        <f>'Sprint Tracker'!F6</f>
        <v>9</v>
      </c>
      <c r="G35" s="219">
        <f>'Sprint Tracker'!E6-F35</f>
        <v>0</v>
      </c>
      <c r="H35" s="170"/>
      <c r="I35" s="3"/>
    </row>
    <row r="36" spans="1:9" x14ac:dyDescent="0.2">
      <c r="A36" s="219" t="s">
        <v>1087</v>
      </c>
      <c r="B36" s="219" t="s">
        <v>1088</v>
      </c>
      <c r="C36" s="219">
        <f>'Sprint Tracker'!C7</f>
        <v>25</v>
      </c>
      <c r="D36" s="219">
        <f>'Sprint Tracker'!D7</f>
        <v>23</v>
      </c>
      <c r="E36" s="261">
        <f t="shared" ref="E36:E37" si="0">IF(C36=0,"-",D36/C36)</f>
        <v>0.92</v>
      </c>
      <c r="F36" s="219">
        <f>'Sprint Tracker'!F7</f>
        <v>8</v>
      </c>
      <c r="G36" s="219">
        <f>'Sprint Tracker'!E7-F36</f>
        <v>15</v>
      </c>
      <c r="H36" s="170"/>
      <c r="I36" s="3"/>
    </row>
    <row r="37" spans="1:9" x14ac:dyDescent="0.2">
      <c r="A37" s="219" t="s">
        <v>1089</v>
      </c>
      <c r="B37" s="219" t="s">
        <v>1090</v>
      </c>
      <c r="C37" s="219">
        <f>'Sprint Tracker'!C8</f>
        <v>28</v>
      </c>
      <c r="D37" s="219">
        <f>'Sprint Tracker'!D8</f>
        <v>16</v>
      </c>
      <c r="E37" s="261">
        <f t="shared" si="0"/>
        <v>0.5714285714285714</v>
      </c>
      <c r="F37" s="219">
        <f>'Sprint Tracker'!F8</f>
        <v>5</v>
      </c>
      <c r="G37" s="219">
        <f>'Sprint Tracker'!E8-F37</f>
        <v>17</v>
      </c>
      <c r="H37" s="170"/>
      <c r="I37" s="3"/>
    </row>
    <row r="38" spans="1:9" x14ac:dyDescent="0.2">
      <c r="A38" s="226" t="s">
        <v>1091</v>
      </c>
      <c r="B38" s="226"/>
      <c r="C38" s="226">
        <f>SUM(C35:C37)</f>
        <v>79</v>
      </c>
      <c r="D38" s="226">
        <f>SUM(D35:D37)</f>
        <v>77</v>
      </c>
      <c r="E38" s="262">
        <f>IF(C38=0,"-",D38/C38)</f>
        <v>0.97468354430379744</v>
      </c>
      <c r="F38" s="226">
        <f>SUM(F35:F37)</f>
        <v>22</v>
      </c>
      <c r="G38" s="226">
        <f>SUM(G35:G37)</f>
        <v>32</v>
      </c>
      <c r="H38" s="3"/>
      <c r="I38" s="3"/>
    </row>
    <row r="39" spans="1:9" x14ac:dyDescent="0.2">
      <c r="A39" s="312" t="s">
        <v>1092</v>
      </c>
      <c r="B39" s="312"/>
      <c r="C39" s="312"/>
      <c r="D39" s="312"/>
      <c r="E39" s="312"/>
      <c r="F39" s="312"/>
      <c r="G39" s="312"/>
      <c r="H39" s="312"/>
      <c r="I39" s="3"/>
    </row>
    <row r="40" spans="1:9" x14ac:dyDescent="0.2">
      <c r="A40" s="227"/>
      <c r="B40" s="227"/>
      <c r="C40" s="227"/>
      <c r="D40" s="227"/>
      <c r="E40" s="227"/>
      <c r="F40" s="227"/>
      <c r="G40" s="227"/>
      <c r="H40" s="227"/>
      <c r="I40" s="3"/>
    </row>
    <row r="41" spans="1:9" x14ac:dyDescent="0.2">
      <c r="A41" s="225" t="s">
        <v>1093</v>
      </c>
      <c r="B41" s="170"/>
      <c r="C41" s="170"/>
      <c r="D41" s="170"/>
      <c r="E41" s="170"/>
      <c r="F41" s="170"/>
      <c r="G41" s="170"/>
      <c r="H41" s="170"/>
      <c r="I41" s="3"/>
    </row>
    <row r="42" spans="1:9" x14ac:dyDescent="0.2">
      <c r="A42" s="314" t="s">
        <v>1094</v>
      </c>
      <c r="B42" s="314"/>
      <c r="C42" s="314"/>
      <c r="D42" s="314"/>
      <c r="E42" s="314"/>
      <c r="F42" s="314"/>
      <c r="G42" s="314"/>
      <c r="H42" s="314"/>
      <c r="I42" s="3"/>
    </row>
    <row r="43" spans="1:9" x14ac:dyDescent="0.2">
      <c r="A43" s="170"/>
      <c r="B43" s="170"/>
      <c r="C43" s="170"/>
      <c r="D43" s="170"/>
      <c r="E43" s="170"/>
      <c r="F43" s="170"/>
      <c r="G43" s="170"/>
      <c r="H43" s="170"/>
      <c r="I43" s="3"/>
    </row>
    <row r="44" spans="1:9" x14ac:dyDescent="0.2">
      <c r="A44" s="228" t="s">
        <v>1095</v>
      </c>
      <c r="B44" s="3"/>
      <c r="C44" s="3"/>
      <c r="D44" s="3"/>
      <c r="E44" s="3"/>
      <c r="F44" s="3"/>
      <c r="G44" s="3"/>
      <c r="H44" s="3"/>
      <c r="I44" s="3"/>
    </row>
    <row r="45" spans="1:9" x14ac:dyDescent="0.2">
      <c r="A45" s="155" t="s">
        <v>976</v>
      </c>
      <c r="B45" s="155" t="s">
        <v>1096</v>
      </c>
      <c r="C45" s="155" t="s">
        <v>1097</v>
      </c>
      <c r="D45" s="155" t="s">
        <v>978</v>
      </c>
      <c r="E45" s="3"/>
      <c r="F45" s="3"/>
      <c r="G45" s="3"/>
      <c r="H45" s="3"/>
      <c r="I45" s="3"/>
    </row>
    <row r="46" spans="1:9" x14ac:dyDescent="0.2">
      <c r="A46" s="229" t="s">
        <v>1098</v>
      </c>
      <c r="B46" s="230">
        <v>1464</v>
      </c>
      <c r="C46" s="230"/>
      <c r="D46" s="230" t="s">
        <v>1099</v>
      </c>
      <c r="E46" s="155"/>
      <c r="F46" s="155"/>
      <c r="G46" s="155"/>
      <c r="H46" s="155"/>
      <c r="I46" s="3"/>
    </row>
    <row r="47" spans="1:9" x14ac:dyDescent="0.2">
      <c r="A47" s="216" t="s">
        <v>1100</v>
      </c>
      <c r="B47" s="219">
        <v>554</v>
      </c>
      <c r="C47" s="219"/>
      <c r="D47" s="219" t="s">
        <v>1101</v>
      </c>
      <c r="E47" s="170"/>
      <c r="F47" s="170"/>
      <c r="G47" s="170"/>
      <c r="H47" s="170"/>
      <c r="I47" s="3"/>
    </row>
    <row r="48" spans="1:9" x14ac:dyDescent="0.2">
      <c r="A48" s="216" t="s">
        <v>1102</v>
      </c>
      <c r="B48" s="219">
        <v>142</v>
      </c>
      <c r="C48" s="219"/>
      <c r="D48" s="219" t="s">
        <v>1103</v>
      </c>
      <c r="E48" s="170"/>
      <c r="F48" s="170"/>
      <c r="G48" s="170"/>
      <c r="H48" s="170"/>
      <c r="I48" s="3"/>
    </row>
    <row r="49" spans="1:9" x14ac:dyDescent="0.2">
      <c r="A49" s="216" t="s">
        <v>1104</v>
      </c>
      <c r="B49" s="219">
        <v>146</v>
      </c>
      <c r="C49" s="219"/>
      <c r="D49" s="219" t="s">
        <v>1105</v>
      </c>
      <c r="E49" s="170"/>
      <c r="F49" s="170"/>
      <c r="G49" s="170"/>
      <c r="H49" s="170"/>
      <c r="I49" s="3"/>
    </row>
    <row r="50" spans="1:9" x14ac:dyDescent="0.2">
      <c r="A50" s="216" t="s">
        <v>1106</v>
      </c>
      <c r="B50" s="219">
        <v>71</v>
      </c>
      <c r="C50" s="219"/>
      <c r="D50" s="219" t="s">
        <v>1107</v>
      </c>
      <c r="E50" s="170"/>
      <c r="F50" s="170"/>
      <c r="G50" s="170"/>
      <c r="H50" s="170"/>
      <c r="I50" s="3"/>
    </row>
    <row r="51" spans="1:9" x14ac:dyDescent="0.2">
      <c r="A51" s="231" t="s">
        <v>1108</v>
      </c>
      <c r="B51" s="226">
        <v>2235</v>
      </c>
      <c r="C51" s="226"/>
      <c r="D51" s="226" t="s">
        <v>1109</v>
      </c>
      <c r="E51" s="170"/>
      <c r="F51" s="170"/>
      <c r="G51" s="170"/>
      <c r="H51" s="170"/>
      <c r="I51" s="3"/>
    </row>
    <row r="52" spans="1:9" x14ac:dyDescent="0.2">
      <c r="A52" s="216" t="s">
        <v>1110</v>
      </c>
      <c r="B52" s="219" t="s">
        <v>390</v>
      </c>
      <c r="C52" s="219"/>
      <c r="D52" s="219" t="s">
        <v>1111</v>
      </c>
      <c r="E52" s="170"/>
      <c r="F52" s="170"/>
      <c r="G52" s="170"/>
      <c r="H52" s="170"/>
      <c r="I52" s="3"/>
    </row>
    <row r="53" spans="1:9" x14ac:dyDescent="0.2">
      <c r="A53" s="3"/>
      <c r="B53" s="3"/>
      <c r="C53" s="3"/>
      <c r="D53" s="3"/>
      <c r="E53" s="3"/>
      <c r="F53" s="3"/>
      <c r="G53" s="3"/>
      <c r="H53" s="3"/>
      <c r="I53" s="3"/>
    </row>
    <row r="54" spans="1:9" x14ac:dyDescent="0.2">
      <c r="A54" s="232" t="s">
        <v>119</v>
      </c>
      <c r="B54" s="3"/>
      <c r="C54" s="3"/>
      <c r="D54" s="3"/>
      <c r="E54" s="3"/>
      <c r="F54" s="3"/>
      <c r="G54" s="3"/>
      <c r="H54" s="3"/>
      <c r="I54" s="3"/>
    </row>
    <row r="55" spans="1:9" x14ac:dyDescent="0.2">
      <c r="A55" s="155" t="s">
        <v>976</v>
      </c>
      <c r="B55" s="155" t="s">
        <v>1112</v>
      </c>
      <c r="C55" s="155" t="s">
        <v>978</v>
      </c>
      <c r="D55" s="155" t="s">
        <v>1113</v>
      </c>
      <c r="E55" s="155"/>
      <c r="F55" s="155"/>
      <c r="G55" s="155"/>
      <c r="H55" s="155"/>
      <c r="I55" s="3"/>
    </row>
    <row r="56" spans="1:9" x14ac:dyDescent="0.2">
      <c r="A56" s="216" t="s">
        <v>1114</v>
      </c>
      <c r="B56" s="219" t="s">
        <v>1115</v>
      </c>
      <c r="C56" s="219" t="s">
        <v>1116</v>
      </c>
      <c r="D56" s="219" t="s">
        <v>1117</v>
      </c>
      <c r="E56" s="170"/>
      <c r="F56" s="170"/>
      <c r="G56" s="170"/>
      <c r="H56" s="170"/>
      <c r="I56" s="3"/>
    </row>
    <row r="57" spans="1:9" x14ac:dyDescent="0.2">
      <c r="A57" s="216" t="s">
        <v>1118</v>
      </c>
      <c r="B57" s="219" t="s">
        <v>1119</v>
      </c>
      <c r="C57" s="219" t="s">
        <v>1120</v>
      </c>
      <c r="D57" s="219"/>
      <c r="E57" s="170"/>
      <c r="F57" s="170"/>
      <c r="G57" s="170"/>
      <c r="H57" s="170"/>
      <c r="I57" s="3"/>
    </row>
    <row r="58" spans="1:9" x14ac:dyDescent="0.2">
      <c r="A58" s="216" t="s">
        <v>1121</v>
      </c>
      <c r="B58" s="219" t="s">
        <v>1122</v>
      </c>
      <c r="C58" s="219" t="s">
        <v>1123</v>
      </c>
      <c r="D58" s="219"/>
      <c r="E58" s="170"/>
      <c r="F58" s="170"/>
      <c r="G58" s="170"/>
      <c r="H58" s="170"/>
      <c r="I58" s="3"/>
    </row>
    <row r="59" spans="1:9" x14ac:dyDescent="0.2">
      <c r="A59" s="216" t="s">
        <v>1124</v>
      </c>
      <c r="B59" s="219" t="s">
        <v>1125</v>
      </c>
      <c r="C59" s="219" t="s">
        <v>1126</v>
      </c>
      <c r="D59" s="219"/>
      <c r="E59" s="170"/>
      <c r="F59" s="170"/>
      <c r="G59" s="170"/>
      <c r="H59" s="170"/>
      <c r="I59" s="3"/>
    </row>
    <row r="60" spans="1:9" x14ac:dyDescent="0.2">
      <c r="A60" s="216" t="s">
        <v>1127</v>
      </c>
      <c r="B60" s="219"/>
      <c r="C60" s="219" t="s">
        <v>1128</v>
      </c>
      <c r="D60" s="219"/>
      <c r="E60" s="170"/>
      <c r="F60" s="170"/>
      <c r="G60" s="170"/>
      <c r="H60" s="170"/>
      <c r="I60" s="3"/>
    </row>
    <row r="61" spans="1:9" x14ac:dyDescent="0.2">
      <c r="A61" s="3"/>
      <c r="B61" s="3"/>
      <c r="C61" s="3"/>
      <c r="D61" s="3"/>
      <c r="E61" s="3"/>
      <c r="F61" s="3"/>
      <c r="G61" s="3"/>
      <c r="H61" s="3"/>
      <c r="I61" s="3"/>
    </row>
    <row r="62" spans="1:9" x14ac:dyDescent="0.2">
      <c r="A62" s="233" t="s">
        <v>1129</v>
      </c>
      <c r="B62" s="3"/>
      <c r="C62" s="3"/>
      <c r="D62" s="3"/>
      <c r="E62" s="3"/>
      <c r="F62" s="3"/>
      <c r="G62" s="3"/>
      <c r="H62" s="3"/>
      <c r="I62" s="3"/>
    </row>
    <row r="63" spans="1:9" x14ac:dyDescent="0.2">
      <c r="A63" s="155" t="s">
        <v>976</v>
      </c>
      <c r="B63" s="155" t="s">
        <v>977</v>
      </c>
      <c r="C63" s="155" t="s">
        <v>978</v>
      </c>
      <c r="D63" s="155"/>
      <c r="E63" s="155"/>
      <c r="F63" s="155"/>
      <c r="G63" s="155"/>
      <c r="H63" s="155"/>
      <c r="I63" s="3"/>
    </row>
    <row r="64" spans="1:9" ht="30" x14ac:dyDescent="0.2">
      <c r="A64" s="162" t="s">
        <v>1130</v>
      </c>
      <c r="B64" s="162" t="s">
        <v>1119</v>
      </c>
      <c r="C64" s="162" t="s">
        <v>1131</v>
      </c>
      <c r="D64" s="162"/>
      <c r="E64" s="162"/>
      <c r="F64" s="162"/>
      <c r="G64" s="162"/>
      <c r="H64" s="162"/>
      <c r="I64" s="3"/>
    </row>
    <row r="65" spans="1:9" x14ac:dyDescent="0.2">
      <c r="A65" s="172" t="s">
        <v>1132</v>
      </c>
      <c r="B65" s="172" t="s">
        <v>1119</v>
      </c>
      <c r="C65" s="172" t="s">
        <v>1133</v>
      </c>
      <c r="D65" s="172"/>
      <c r="E65" s="172"/>
      <c r="F65" s="172"/>
      <c r="G65" s="172"/>
      <c r="H65" s="172"/>
      <c r="I65" s="3"/>
    </row>
    <row r="66" spans="1:9" x14ac:dyDescent="0.2">
      <c r="A66" s="173" t="s">
        <v>1134</v>
      </c>
      <c r="B66" s="173" t="s">
        <v>1135</v>
      </c>
      <c r="C66" s="173" t="s">
        <v>1136</v>
      </c>
      <c r="D66" s="173"/>
      <c r="E66" s="173"/>
      <c r="F66" s="173"/>
      <c r="G66" s="173"/>
      <c r="H66" s="173"/>
      <c r="I66" s="3"/>
    </row>
    <row r="67" spans="1:9" x14ac:dyDescent="0.2">
      <c r="A67" s="315" t="s">
        <v>1137</v>
      </c>
      <c r="B67" s="315"/>
      <c r="C67" s="315"/>
      <c r="D67" s="315"/>
      <c r="E67" s="315"/>
      <c r="F67" s="315"/>
      <c r="G67" s="315"/>
      <c r="H67" s="315"/>
      <c r="I67" s="3"/>
    </row>
    <row r="68" spans="1:9" x14ac:dyDescent="0.2">
      <c r="A68" s="3"/>
      <c r="B68" s="3"/>
      <c r="C68" s="3"/>
      <c r="D68" s="3"/>
      <c r="E68" s="3"/>
      <c r="F68" s="3"/>
      <c r="G68" s="3"/>
      <c r="H68" s="3"/>
      <c r="I68" s="3"/>
    </row>
    <row r="69" spans="1:9" x14ac:dyDescent="0.2">
      <c r="A69" s="313" t="s">
        <v>1138</v>
      </c>
      <c r="B69" s="313"/>
      <c r="C69" s="313"/>
      <c r="D69" s="313"/>
      <c r="E69" s="313"/>
      <c r="F69" s="313"/>
      <c r="G69" s="313"/>
      <c r="H69" s="313"/>
      <c r="I69" s="3"/>
    </row>
    <row r="70" spans="1:9" x14ac:dyDescent="0.2">
      <c r="A70" s="234" t="s">
        <v>1139</v>
      </c>
      <c r="B70" s="3"/>
      <c r="C70" s="3"/>
      <c r="D70" s="3"/>
      <c r="E70" s="235" t="s">
        <v>1140</v>
      </c>
      <c r="F70" s="3"/>
      <c r="G70" s="3"/>
      <c r="H70" s="3"/>
      <c r="I70" s="3"/>
    </row>
    <row r="71" spans="1:9" x14ac:dyDescent="0.2">
      <c r="A71" s="236" t="s">
        <v>1141</v>
      </c>
      <c r="B71" s="3"/>
      <c r="C71" s="3"/>
      <c r="D71" s="3"/>
      <c r="E71" s="236" t="s">
        <v>1141</v>
      </c>
      <c r="F71" s="3"/>
      <c r="G71" s="3"/>
      <c r="H71" s="3"/>
      <c r="I71" s="3"/>
    </row>
    <row r="72" spans="1:9" x14ac:dyDescent="0.2">
      <c r="A72" s="236" t="s">
        <v>1142</v>
      </c>
      <c r="B72" s="3"/>
      <c r="C72" s="3"/>
      <c r="D72" s="3"/>
      <c r="E72" s="236" t="s">
        <v>1142</v>
      </c>
      <c r="F72" s="3"/>
      <c r="G72" s="3"/>
      <c r="H72" s="3"/>
      <c r="I72" s="3"/>
    </row>
    <row r="73" spans="1:9" x14ac:dyDescent="0.2">
      <c r="A73" s="236" t="s">
        <v>1143</v>
      </c>
      <c r="B73" s="3"/>
      <c r="C73" s="3"/>
      <c r="D73" s="3"/>
      <c r="E73" s="236" t="s">
        <v>1143</v>
      </c>
      <c r="F73" s="3"/>
      <c r="G73" s="3"/>
      <c r="H73" s="3"/>
      <c r="I73" s="3"/>
    </row>
    <row r="74" spans="1:9" x14ac:dyDescent="0.2">
      <c r="A74" s="3"/>
      <c r="B74" s="3"/>
      <c r="C74" s="3"/>
      <c r="D74" s="3"/>
      <c r="E74" s="3"/>
      <c r="F74" s="3"/>
      <c r="G74" s="3"/>
      <c r="H74" s="3"/>
      <c r="I74" s="3"/>
    </row>
    <row r="75" spans="1:9" x14ac:dyDescent="0.2">
      <c r="A75" s="228" t="s">
        <v>1144</v>
      </c>
      <c r="B75" s="3"/>
      <c r="C75" s="3"/>
      <c r="D75" s="3"/>
      <c r="E75" s="3"/>
      <c r="F75" s="3"/>
      <c r="G75" s="3"/>
      <c r="H75" s="3"/>
      <c r="I75" s="3"/>
    </row>
    <row r="76" spans="1:9" x14ac:dyDescent="0.2">
      <c r="A76" s="155" t="s">
        <v>1145</v>
      </c>
      <c r="B76" s="155" t="s">
        <v>1146</v>
      </c>
      <c r="C76" s="155" t="s">
        <v>1147</v>
      </c>
      <c r="D76" s="155" t="s">
        <v>1148</v>
      </c>
      <c r="E76" s="3"/>
      <c r="F76" s="3"/>
      <c r="G76" s="3"/>
      <c r="H76" s="3"/>
      <c r="I76" s="3"/>
    </row>
    <row r="77" spans="1:9" ht="45" x14ac:dyDescent="0.2">
      <c r="A77" s="216" t="s">
        <v>1149</v>
      </c>
      <c r="B77" s="216" t="s">
        <v>1150</v>
      </c>
      <c r="C77" s="216"/>
      <c r="D77" s="216" t="s">
        <v>1151</v>
      </c>
      <c r="E77" s="3"/>
      <c r="F77" s="3"/>
      <c r="G77" s="3"/>
      <c r="H77" s="3"/>
      <c r="I77" s="3"/>
    </row>
    <row r="78" spans="1:9" ht="60" x14ac:dyDescent="0.2">
      <c r="A78" s="216" t="s">
        <v>1152</v>
      </c>
      <c r="B78" s="216" t="s">
        <v>1153</v>
      </c>
      <c r="C78" s="216"/>
      <c r="D78" s="216" t="s">
        <v>1154</v>
      </c>
      <c r="E78" s="3"/>
      <c r="F78" s="3"/>
      <c r="G78" s="3"/>
      <c r="H78" s="3"/>
      <c r="I78" s="3"/>
    </row>
    <row r="79" spans="1:9" ht="30" x14ac:dyDescent="0.2">
      <c r="A79" s="216" t="s">
        <v>1155</v>
      </c>
      <c r="B79" s="216" t="s">
        <v>1156</v>
      </c>
      <c r="C79" s="216"/>
      <c r="D79" s="216" t="s">
        <v>1157</v>
      </c>
      <c r="E79" s="3"/>
      <c r="F79" s="3"/>
      <c r="G79" s="3"/>
      <c r="H79" s="3"/>
      <c r="I79" s="3"/>
    </row>
    <row r="80" spans="1:9" ht="30" x14ac:dyDescent="0.2">
      <c r="A80" s="216" t="s">
        <v>1158</v>
      </c>
      <c r="B80" s="216" t="s">
        <v>1150</v>
      </c>
      <c r="C80" s="216"/>
      <c r="D80" s="216" t="s">
        <v>1159</v>
      </c>
      <c r="E80" s="3"/>
      <c r="F80" s="3"/>
      <c r="G80" s="3"/>
      <c r="H80" s="3"/>
      <c r="I80" s="3"/>
    </row>
    <row r="81" spans="1:9" ht="30" x14ac:dyDescent="0.2">
      <c r="A81" s="216" t="s">
        <v>1160</v>
      </c>
      <c r="B81" s="216" t="s">
        <v>1153</v>
      </c>
      <c r="C81" s="216"/>
      <c r="D81" s="216" t="s">
        <v>1161</v>
      </c>
      <c r="E81" s="3"/>
      <c r="F81" s="3"/>
      <c r="G81" s="3"/>
      <c r="H81" s="3"/>
      <c r="I81" s="3"/>
    </row>
    <row r="82" spans="1:9" ht="30" x14ac:dyDescent="0.2">
      <c r="A82" s="216" t="s">
        <v>1162</v>
      </c>
      <c r="B82" s="216" t="s">
        <v>1156</v>
      </c>
      <c r="C82" s="216"/>
      <c r="D82" s="216" t="s">
        <v>1163</v>
      </c>
      <c r="E82" s="3"/>
      <c r="F82" s="3"/>
      <c r="G82" s="3"/>
      <c r="H82" s="3"/>
      <c r="I82" s="3"/>
    </row>
    <row r="83" spans="1:9" ht="30" x14ac:dyDescent="0.2">
      <c r="A83" s="216" t="s">
        <v>1164</v>
      </c>
      <c r="B83" s="216" t="s">
        <v>1150</v>
      </c>
      <c r="C83" s="216"/>
      <c r="D83" s="216" t="s">
        <v>1165</v>
      </c>
      <c r="E83" s="3"/>
      <c r="F83" s="3"/>
      <c r="G83" s="3"/>
      <c r="H83" s="3"/>
      <c r="I83" s="3"/>
    </row>
    <row r="84" spans="1:9" ht="45" x14ac:dyDescent="0.2">
      <c r="A84" s="216" t="s">
        <v>1166</v>
      </c>
      <c r="B84" s="216" t="s">
        <v>1156</v>
      </c>
      <c r="C84" s="216"/>
      <c r="D84" s="216" t="s">
        <v>1167</v>
      </c>
      <c r="E84" s="3"/>
      <c r="F84" s="3"/>
      <c r="G84" s="3"/>
      <c r="H84" s="3"/>
      <c r="I84" s="3"/>
    </row>
    <row r="85" spans="1:9" x14ac:dyDescent="0.2">
      <c r="A85" s="3"/>
      <c r="B85" s="3"/>
      <c r="C85" s="3"/>
      <c r="D85" s="3"/>
      <c r="E85" s="3"/>
      <c r="F85" s="3"/>
      <c r="G85" s="3"/>
      <c r="H85" s="3"/>
      <c r="I85" s="3"/>
    </row>
    <row r="86" spans="1:9" x14ac:dyDescent="0.2">
      <c r="A86" s="313" t="s">
        <v>1168</v>
      </c>
      <c r="B86" s="313"/>
      <c r="C86" s="313"/>
      <c r="D86" s="313"/>
      <c r="E86" s="313"/>
      <c r="F86" s="313"/>
      <c r="G86" s="313"/>
      <c r="H86" s="313"/>
      <c r="I86" s="3"/>
    </row>
    <row r="87" spans="1:9" x14ac:dyDescent="0.2">
      <c r="A87" s="155" t="s">
        <v>1169</v>
      </c>
      <c r="B87" s="155" t="s">
        <v>1170</v>
      </c>
      <c r="C87" s="3"/>
      <c r="D87" s="3"/>
      <c r="E87" s="3"/>
      <c r="F87" s="3"/>
      <c r="G87" s="3"/>
      <c r="H87" s="3"/>
      <c r="I87" s="3"/>
    </row>
    <row r="88" spans="1:9" x14ac:dyDescent="0.2">
      <c r="A88" s="163" t="s">
        <v>1171</v>
      </c>
      <c r="B88" s="237" t="s">
        <v>1172</v>
      </c>
      <c r="C88" s="3"/>
      <c r="D88" s="3"/>
      <c r="E88" s="3"/>
      <c r="F88" s="3"/>
      <c r="G88" s="3"/>
      <c r="H88" s="3"/>
      <c r="I88" s="3"/>
    </row>
    <row r="89" spans="1:9" x14ac:dyDescent="0.2">
      <c r="A89" s="163" t="s">
        <v>1173</v>
      </c>
      <c r="B89" s="237" t="s">
        <v>1174</v>
      </c>
      <c r="C89" s="3"/>
      <c r="D89" s="3"/>
      <c r="E89" s="3"/>
      <c r="F89" s="3"/>
      <c r="G89" s="3"/>
      <c r="H89" s="3"/>
      <c r="I89" s="3"/>
    </row>
    <row r="90" spans="1:9" x14ac:dyDescent="0.2">
      <c r="A90" s="163" t="s">
        <v>1175</v>
      </c>
      <c r="B90" s="237" t="s">
        <v>1176</v>
      </c>
      <c r="C90" s="3"/>
      <c r="D90" s="3"/>
      <c r="E90" s="3"/>
      <c r="F90" s="3"/>
      <c r="G90" s="3"/>
      <c r="H90" s="3"/>
      <c r="I90" s="3"/>
    </row>
    <row r="91" spans="1:9" x14ac:dyDescent="0.2">
      <c r="A91" s="163" t="s">
        <v>1177</v>
      </c>
      <c r="B91" s="237" t="s">
        <v>1178</v>
      </c>
      <c r="C91" s="3"/>
      <c r="D91" s="3"/>
      <c r="E91" s="3"/>
      <c r="F91" s="3"/>
      <c r="G91" s="3"/>
      <c r="H91" s="3"/>
      <c r="I91" s="3"/>
    </row>
    <row r="92" spans="1:9" x14ac:dyDescent="0.2">
      <c r="A92" s="163" t="s">
        <v>1179</v>
      </c>
      <c r="B92" s="237" t="s">
        <v>1180</v>
      </c>
      <c r="C92" s="3"/>
      <c r="D92" s="3"/>
      <c r="E92" s="3"/>
      <c r="F92" s="3"/>
      <c r="G92" s="3"/>
      <c r="H92" s="3"/>
      <c r="I92" s="3"/>
    </row>
    <row r="93" spans="1:9" x14ac:dyDescent="0.2">
      <c r="A93" s="163" t="s">
        <v>1181</v>
      </c>
      <c r="B93" s="237" t="s">
        <v>1182</v>
      </c>
      <c r="C93" s="3"/>
      <c r="D93" s="3"/>
      <c r="E93" s="3"/>
      <c r="F93" s="3"/>
      <c r="G93" s="3"/>
      <c r="H93" s="3"/>
      <c r="I93" s="3"/>
    </row>
    <row r="94" spans="1:9" x14ac:dyDescent="0.2">
      <c r="A94" s="3"/>
      <c r="B94" s="3"/>
      <c r="C94" s="3"/>
      <c r="D94" s="3"/>
      <c r="E94" s="3"/>
      <c r="F94" s="3"/>
      <c r="G94" s="3"/>
      <c r="H94" s="3"/>
      <c r="I94" s="3"/>
    </row>
    <row r="95" spans="1:9" x14ac:dyDescent="0.2">
      <c r="A95" s="313" t="s">
        <v>1183</v>
      </c>
      <c r="B95" s="313"/>
      <c r="C95" s="313"/>
      <c r="D95" s="313"/>
      <c r="E95" s="313"/>
      <c r="F95" s="313"/>
      <c r="G95" s="313"/>
      <c r="H95" s="313"/>
      <c r="I95" s="3"/>
    </row>
    <row r="96" spans="1:9" x14ac:dyDescent="0.2">
      <c r="A96" s="155" t="s">
        <v>1184</v>
      </c>
      <c r="B96" s="155" t="s">
        <v>1170</v>
      </c>
      <c r="C96" s="3"/>
      <c r="D96" s="3"/>
      <c r="E96" s="3"/>
      <c r="F96" s="3"/>
      <c r="G96" s="3"/>
      <c r="H96" s="3"/>
      <c r="I96" s="3"/>
    </row>
    <row r="97" spans="1:9" x14ac:dyDescent="0.2">
      <c r="A97" s="163" t="s">
        <v>1185</v>
      </c>
      <c r="B97" s="163" t="s">
        <v>1186</v>
      </c>
      <c r="C97" s="3"/>
      <c r="D97" s="3"/>
      <c r="E97" s="3"/>
      <c r="F97" s="3"/>
      <c r="G97" s="3"/>
      <c r="H97" s="3"/>
      <c r="I97" s="3"/>
    </row>
    <row r="98" spans="1:9" x14ac:dyDescent="0.2">
      <c r="A98" s="163" t="s">
        <v>1187</v>
      </c>
      <c r="B98" s="163" t="s">
        <v>1188</v>
      </c>
      <c r="C98" s="3"/>
      <c r="D98" s="3"/>
      <c r="E98" s="3"/>
      <c r="F98" s="3"/>
      <c r="G98" s="3"/>
      <c r="H98" s="3"/>
      <c r="I98" s="3"/>
    </row>
    <row r="99" spans="1:9" x14ac:dyDescent="0.2">
      <c r="A99" s="163" t="s">
        <v>1189</v>
      </c>
      <c r="B99" s="163" t="s">
        <v>1190</v>
      </c>
      <c r="C99" s="3"/>
      <c r="D99" s="3"/>
      <c r="E99" s="3"/>
      <c r="F99" s="3"/>
      <c r="G99" s="3"/>
      <c r="H99" s="3"/>
      <c r="I99" s="3"/>
    </row>
    <row r="100" spans="1:9" x14ac:dyDescent="0.2">
      <c r="A100" s="163" t="s">
        <v>1191</v>
      </c>
      <c r="B100" s="163" t="s">
        <v>1192</v>
      </c>
      <c r="C100" s="3"/>
      <c r="D100" s="3"/>
      <c r="E100" s="3"/>
      <c r="F100" s="3"/>
      <c r="G100" s="3"/>
      <c r="H100" s="3"/>
      <c r="I100" s="3"/>
    </row>
    <row r="101" spans="1:9" x14ac:dyDescent="0.2">
      <c r="A101" s="163" t="s">
        <v>1193</v>
      </c>
      <c r="B101" s="163" t="s">
        <v>1194</v>
      </c>
      <c r="C101" s="3"/>
      <c r="D101" s="3"/>
      <c r="E101" s="3"/>
      <c r="F101" s="3"/>
      <c r="G101" s="3"/>
      <c r="H101" s="3"/>
      <c r="I101" s="3"/>
    </row>
    <row r="102" spans="1:9" x14ac:dyDescent="0.2">
      <c r="A102" s="3"/>
      <c r="B102" s="3"/>
      <c r="C102" s="3"/>
      <c r="D102" s="3"/>
      <c r="E102" s="3"/>
      <c r="F102" s="3"/>
      <c r="G102" s="3"/>
      <c r="H102" s="3"/>
      <c r="I102" s="3"/>
    </row>
    <row r="103" spans="1:9" x14ac:dyDescent="0.2">
      <c r="A103" s="313" t="s">
        <v>1195</v>
      </c>
      <c r="B103" s="313"/>
      <c r="C103" s="313"/>
      <c r="D103" s="313"/>
      <c r="E103" s="313"/>
      <c r="F103" s="313"/>
      <c r="G103" s="313"/>
      <c r="H103" s="313"/>
      <c r="I103" s="3"/>
    </row>
    <row r="104" spans="1:9" ht="30" x14ac:dyDescent="0.2">
      <c r="A104" s="155" t="s">
        <v>27</v>
      </c>
      <c r="B104" s="155" t="s">
        <v>1196</v>
      </c>
      <c r="C104" s="155" t="s">
        <v>1197</v>
      </c>
      <c r="D104" s="155" t="s">
        <v>1198</v>
      </c>
      <c r="E104" s="155" t="s">
        <v>1199</v>
      </c>
      <c r="F104" s="155" t="s">
        <v>1200</v>
      </c>
      <c r="G104" s="3"/>
      <c r="H104" s="3"/>
      <c r="I104" s="3"/>
    </row>
    <row r="105" spans="1:9" x14ac:dyDescent="0.2">
      <c r="A105" s="163" t="s">
        <v>32</v>
      </c>
      <c r="B105" s="163" t="s">
        <v>1007</v>
      </c>
      <c r="C105" s="152"/>
      <c r="D105" s="152"/>
      <c r="E105" s="152"/>
      <c r="F105" s="152"/>
      <c r="G105" s="3"/>
      <c r="H105" s="3"/>
      <c r="I105" s="3"/>
    </row>
    <row r="106" spans="1:9" x14ac:dyDescent="0.2">
      <c r="A106" s="163" t="s">
        <v>36</v>
      </c>
      <c r="B106" s="163" t="s">
        <v>1201</v>
      </c>
      <c r="C106" s="152"/>
      <c r="D106" s="152"/>
      <c r="E106" s="152"/>
      <c r="F106" s="152"/>
      <c r="G106" s="3"/>
      <c r="H106" s="3"/>
      <c r="I106" s="3"/>
    </row>
    <row r="107" spans="1:9" x14ac:dyDescent="0.2">
      <c r="A107" s="163" t="s">
        <v>40</v>
      </c>
      <c r="B107" s="163" t="s">
        <v>1202</v>
      </c>
      <c r="C107" s="152"/>
      <c r="D107" s="152"/>
      <c r="E107" s="152"/>
      <c r="F107" s="152"/>
      <c r="G107" s="3"/>
      <c r="H107" s="3"/>
      <c r="I107" s="3"/>
    </row>
  </sheetData>
  <mergeCells count="16">
    <mergeCell ref="A103:H103"/>
    <mergeCell ref="A42:H42"/>
    <mergeCell ref="A67:H67"/>
    <mergeCell ref="A69:H69"/>
    <mergeCell ref="A86:H86"/>
    <mergeCell ref="A95:H95"/>
    <mergeCell ref="A13:H13"/>
    <mergeCell ref="A19:H19"/>
    <mergeCell ref="A24:H24"/>
    <mergeCell ref="A32:H32"/>
    <mergeCell ref="A39:H39"/>
    <mergeCell ref="A1:H1"/>
    <mergeCell ref="A2:H2"/>
    <mergeCell ref="A4:H4"/>
    <mergeCell ref="A11:H11"/>
    <mergeCell ref="A12:H12"/>
  </mergeCells>
  <dataValidations count="2">
    <dataValidation type="list" allowBlank="1" sqref="C77:C85" xr:uid="{00000000-0002-0000-0B00-000000000000}">
      <formula1>"Resolved,Owned,Accepted,Mitigated,Inchangé"</formula1>
      <formula2>0</formula2>
    </dataValidation>
    <dataValidation type="list" allowBlank="1" sqref="E15:E19 E21:E22" xr:uid="{00000000-0002-0000-0B00-000001000000}">
      <formula1>"Oui,Non,Partiel"</formula1>
      <formula2>0</formula2>
    </dataValidation>
  </dataValidations>
  <hyperlinks>
    <hyperlink ref="A1" location="Dashboard!A1" display="Inspect &amp; Adapt — NEOPRO" xr:uid="{00000000-0004-0000-0B00-000000000000}"/>
    <hyperlink ref="I2" r:id="rId1" location="Dashboard!A1" xr:uid="{00000000-0004-0000-0B00-000001000000}"/>
  </hyperlink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78"/>
  <sheetViews>
    <sheetView zoomScaleNormal="100" workbookViewId="0">
      <pane ySplit="4" topLeftCell="A5" activePane="bottomLeft" state="frozen"/>
      <selection pane="bottomLeft" activeCell="D16" sqref="D16"/>
    </sheetView>
  </sheetViews>
  <sheetFormatPr baseColWidth="10" defaultColWidth="8.6640625" defaultRowHeight="15" customHeight="1" x14ac:dyDescent="0.2"/>
  <cols>
    <col min="1" max="1" width="35" customWidth="1"/>
    <col min="2" max="2" width="30" customWidth="1"/>
    <col min="3" max="4" width="22" customWidth="1"/>
    <col min="5" max="7" width="14" customWidth="1"/>
  </cols>
  <sheetData>
    <row r="1" spans="1:7" ht="15" customHeight="1" x14ac:dyDescent="0.2">
      <c r="A1" s="285" t="s">
        <v>1203</v>
      </c>
      <c r="B1" s="285"/>
      <c r="C1" s="285"/>
      <c r="D1" s="285"/>
      <c r="E1" s="285"/>
      <c r="F1" s="285"/>
      <c r="G1" s="285"/>
    </row>
    <row r="2" spans="1:7" ht="15" customHeight="1" x14ac:dyDescent="0.2">
      <c r="A2" s="66" t="s">
        <v>70</v>
      </c>
      <c r="B2" s="3"/>
      <c r="C2" s="3"/>
      <c r="D2" s="3"/>
      <c r="E2" s="3"/>
      <c r="F2" s="3"/>
      <c r="G2" s="3"/>
    </row>
    <row r="3" spans="1:7" ht="15" customHeight="1" x14ac:dyDescent="0.2">
      <c r="A3" s="238"/>
      <c r="B3" s="183"/>
      <c r="C3" s="183"/>
      <c r="D3" s="183"/>
      <c r="E3" s="183"/>
      <c r="F3" s="3"/>
      <c r="G3" s="3"/>
    </row>
    <row r="4" spans="1:7" ht="15" customHeight="1" x14ac:dyDescent="0.2">
      <c r="A4" s="316" t="s">
        <v>1204</v>
      </c>
      <c r="B4" s="316"/>
      <c r="C4" s="316"/>
      <c r="D4" s="316"/>
      <c r="E4" s="316"/>
      <c r="F4" s="316"/>
      <c r="G4" s="316"/>
    </row>
    <row r="5" spans="1:7" ht="15" customHeight="1" x14ac:dyDescent="0.2">
      <c r="A5" s="155" t="s">
        <v>976</v>
      </c>
      <c r="B5" s="155" t="s">
        <v>189</v>
      </c>
      <c r="C5" s="239" t="s">
        <v>1205</v>
      </c>
      <c r="D5" s="155" t="s">
        <v>1206</v>
      </c>
      <c r="E5" s="240"/>
      <c r="F5" s="3"/>
      <c r="G5" s="3"/>
    </row>
    <row r="6" spans="1:7" ht="15" customHeight="1" x14ac:dyDescent="0.2">
      <c r="A6" s="231" t="s">
        <v>1127</v>
      </c>
      <c r="B6" s="216" t="s">
        <v>1207</v>
      </c>
      <c r="C6" s="241" t="s">
        <v>1208</v>
      </c>
      <c r="D6" s="216" t="s">
        <v>1128</v>
      </c>
      <c r="E6" s="240"/>
      <c r="F6" s="3"/>
      <c r="G6" s="3"/>
    </row>
    <row r="7" spans="1:7" ht="15" customHeight="1" x14ac:dyDescent="0.2">
      <c r="A7" s="231" t="s">
        <v>1114</v>
      </c>
      <c r="B7" s="216" t="s">
        <v>1209</v>
      </c>
      <c r="C7" s="241" t="s">
        <v>1210</v>
      </c>
      <c r="D7" s="216" t="s">
        <v>1116</v>
      </c>
      <c r="E7" s="240"/>
      <c r="F7" s="3"/>
      <c r="G7" s="3"/>
    </row>
    <row r="8" spans="1:7" ht="15" customHeight="1" x14ac:dyDescent="0.2">
      <c r="A8" s="231" t="s">
        <v>1118</v>
      </c>
      <c r="B8" s="216" t="s">
        <v>1211</v>
      </c>
      <c r="C8" s="241" t="s">
        <v>1212</v>
      </c>
      <c r="D8" s="216" t="s">
        <v>1120</v>
      </c>
      <c r="E8" s="240"/>
      <c r="F8" s="3"/>
      <c r="G8" s="3"/>
    </row>
    <row r="9" spans="1:7" ht="15" customHeight="1" x14ac:dyDescent="0.2">
      <c r="A9" s="231" t="s">
        <v>1121</v>
      </c>
      <c r="B9" s="216" t="s">
        <v>1213</v>
      </c>
      <c r="C9" s="241" t="s">
        <v>1214</v>
      </c>
      <c r="D9" s="216" t="s">
        <v>1123</v>
      </c>
      <c r="E9" s="240"/>
      <c r="F9" s="3"/>
      <c r="G9" s="3"/>
    </row>
    <row r="10" spans="1:7" ht="15" customHeight="1" x14ac:dyDescent="0.2">
      <c r="A10" s="231" t="s">
        <v>1124</v>
      </c>
      <c r="B10" s="216" t="s">
        <v>1215</v>
      </c>
      <c r="C10" s="241" t="s">
        <v>1208</v>
      </c>
      <c r="D10" s="216" t="s">
        <v>1126</v>
      </c>
      <c r="E10" s="240"/>
      <c r="F10" s="3"/>
      <c r="G10" s="3"/>
    </row>
    <row r="11" spans="1:7" ht="15" customHeight="1" x14ac:dyDescent="0.2">
      <c r="A11" s="242" t="s">
        <v>1216</v>
      </c>
      <c r="B11" s="243" t="s">
        <v>1217</v>
      </c>
      <c r="C11" s="244" t="s">
        <v>1218</v>
      </c>
      <c r="D11" s="244" t="s">
        <v>1219</v>
      </c>
      <c r="E11" s="214"/>
      <c r="F11" s="3"/>
      <c r="G11" s="3"/>
    </row>
    <row r="12" spans="1:7" ht="15" customHeight="1" x14ac:dyDescent="0.2">
      <c r="A12" s="3"/>
      <c r="B12" s="3"/>
      <c r="C12" s="3"/>
      <c r="D12" s="3"/>
      <c r="E12" s="3"/>
      <c r="F12" s="3"/>
      <c r="G12" s="3"/>
    </row>
    <row r="13" spans="1:7" ht="15" customHeight="1" x14ac:dyDescent="0.2">
      <c r="A13" s="317" t="s">
        <v>1220</v>
      </c>
      <c r="B13" s="317"/>
      <c r="C13" s="317"/>
      <c r="D13" s="317"/>
      <c r="E13" s="317"/>
      <c r="F13" s="317"/>
      <c r="G13" s="317"/>
    </row>
    <row r="14" spans="1:7" ht="15" customHeight="1" x14ac:dyDescent="0.2">
      <c r="A14" s="155" t="s">
        <v>528</v>
      </c>
      <c r="B14" s="155" t="s">
        <v>2</v>
      </c>
      <c r="C14" s="155" t="s">
        <v>776</v>
      </c>
      <c r="D14" s="155" t="s">
        <v>1208</v>
      </c>
      <c r="E14" s="3"/>
      <c r="F14" s="3"/>
      <c r="G14" s="3"/>
    </row>
    <row r="15" spans="1:7" ht="15" customHeight="1" x14ac:dyDescent="0.2">
      <c r="A15" s="216" t="s">
        <v>192</v>
      </c>
      <c r="B15" s="245" t="s">
        <v>1221</v>
      </c>
      <c r="C15" s="219">
        <v>63</v>
      </c>
      <c r="D15" s="261">
        <f>IF(C19=0,"-",C15/C19)</f>
        <v>0.49606299212598426</v>
      </c>
      <c r="E15" s="3"/>
      <c r="F15" s="3"/>
      <c r="G15" s="3"/>
    </row>
    <row r="16" spans="1:7" ht="15" customHeight="1" x14ac:dyDescent="0.2">
      <c r="A16" s="216" t="s">
        <v>1222</v>
      </c>
      <c r="B16" s="245" t="s">
        <v>1223</v>
      </c>
      <c r="C16" s="219">
        <v>51</v>
      </c>
      <c r="D16" s="261">
        <f>IF(C19=0,"-",C16/C19)</f>
        <v>0.40157480314960631</v>
      </c>
      <c r="E16" s="3"/>
      <c r="F16" s="3"/>
      <c r="G16" s="3"/>
    </row>
    <row r="17" spans="1:7" ht="15" customHeight="1" x14ac:dyDescent="0.2">
      <c r="A17" s="216" t="s">
        <v>1224</v>
      </c>
      <c r="B17" s="245" t="s">
        <v>1225</v>
      </c>
      <c r="C17" s="219">
        <v>5</v>
      </c>
      <c r="D17" s="261">
        <f>IF(C19=0,"-",C17/C19)</f>
        <v>3.937007874015748E-2</v>
      </c>
      <c r="E17" s="3"/>
      <c r="F17" s="3"/>
      <c r="G17" s="3"/>
    </row>
    <row r="18" spans="1:7" ht="15" customHeight="1" x14ac:dyDescent="0.2">
      <c r="A18" s="216" t="s">
        <v>1226</v>
      </c>
      <c r="B18" s="245" t="s">
        <v>1227</v>
      </c>
      <c r="C18" s="219">
        <v>8</v>
      </c>
      <c r="D18" s="261">
        <f>IF(C19=0,"-",C18/C19)</f>
        <v>6.2992125984251968E-2</v>
      </c>
      <c r="E18" s="3"/>
      <c r="F18" s="3"/>
      <c r="G18" s="3"/>
    </row>
    <row r="19" spans="1:7" ht="15" customHeight="1" x14ac:dyDescent="0.2">
      <c r="A19" s="231" t="s">
        <v>24</v>
      </c>
      <c r="B19" s="246"/>
      <c r="C19" s="226">
        <f>SUM(C15:C18)</f>
        <v>127</v>
      </c>
      <c r="D19" s="262">
        <f>SUM(D15:D18)</f>
        <v>1</v>
      </c>
      <c r="E19" s="3"/>
      <c r="F19" s="3"/>
      <c r="G19" s="3"/>
    </row>
    <row r="20" spans="1:7" ht="15" customHeight="1" x14ac:dyDescent="0.2">
      <c r="A20" s="210"/>
      <c r="B20" s="247"/>
      <c r="C20" s="214"/>
      <c r="D20" s="3"/>
      <c r="E20" s="3"/>
      <c r="F20" s="3"/>
      <c r="G20" s="3"/>
    </row>
    <row r="21" spans="1:7" ht="15" customHeight="1" x14ac:dyDescent="0.2">
      <c r="A21" s="313" t="s">
        <v>1228</v>
      </c>
      <c r="B21" s="313"/>
      <c r="C21" s="313"/>
      <c r="D21" s="313"/>
      <c r="E21" s="313"/>
      <c r="F21" s="313"/>
      <c r="G21" s="313"/>
    </row>
    <row r="22" spans="1:7" ht="15" customHeight="1" x14ac:dyDescent="0.2">
      <c r="A22" s="155" t="s">
        <v>528</v>
      </c>
      <c r="B22" s="155" t="s">
        <v>1229</v>
      </c>
      <c r="C22" s="155" t="s">
        <v>776</v>
      </c>
      <c r="D22" s="155" t="s">
        <v>1230</v>
      </c>
      <c r="E22" s="3"/>
      <c r="F22" s="3"/>
      <c r="G22" s="3"/>
    </row>
    <row r="23" spans="1:7" ht="26.25" customHeight="1" x14ac:dyDescent="0.2">
      <c r="A23" s="216" t="s">
        <v>192</v>
      </c>
      <c r="B23" s="216" t="s">
        <v>1231</v>
      </c>
      <c r="C23" s="219">
        <v>28</v>
      </c>
      <c r="D23" s="261">
        <f>IF(C27=0,"-",C23/C27)</f>
        <v>0.73684210526315785</v>
      </c>
      <c r="E23" s="3"/>
      <c r="F23" s="3"/>
      <c r="G23" s="3"/>
    </row>
    <row r="24" spans="1:7" ht="15" customHeight="1" x14ac:dyDescent="0.2">
      <c r="A24" s="216" t="s">
        <v>1222</v>
      </c>
      <c r="B24" s="216" t="s">
        <v>1232</v>
      </c>
      <c r="C24" s="219">
        <v>10</v>
      </c>
      <c r="D24" s="261">
        <f>IF(C27=0,"-",C24/C27)</f>
        <v>0.26315789473684209</v>
      </c>
      <c r="E24" s="3"/>
      <c r="F24" s="3"/>
      <c r="G24" s="3"/>
    </row>
    <row r="25" spans="1:7" ht="15" customHeight="1" x14ac:dyDescent="0.2">
      <c r="A25" s="216" t="s">
        <v>1224</v>
      </c>
      <c r="B25" s="216" t="s">
        <v>390</v>
      </c>
      <c r="C25" s="219">
        <v>0</v>
      </c>
      <c r="D25" s="261">
        <f>IF(C27=0,"-",C25/C27)</f>
        <v>0</v>
      </c>
      <c r="E25" s="3"/>
      <c r="F25" s="3"/>
      <c r="G25" s="3"/>
    </row>
    <row r="26" spans="1:7" ht="15" customHeight="1" x14ac:dyDescent="0.2">
      <c r="A26" s="216" t="s">
        <v>1226</v>
      </c>
      <c r="B26" s="216" t="s">
        <v>390</v>
      </c>
      <c r="C26" s="219">
        <v>0</v>
      </c>
      <c r="D26" s="261">
        <f>IF(C27=0,"-",C26/C27)</f>
        <v>0</v>
      </c>
      <c r="E26" s="3"/>
      <c r="F26" s="3"/>
      <c r="G26" s="3"/>
    </row>
    <row r="27" spans="1:7" ht="15" customHeight="1" x14ac:dyDescent="0.2">
      <c r="A27" s="231" t="s">
        <v>24</v>
      </c>
      <c r="B27" s="231" t="s">
        <v>1233</v>
      </c>
      <c r="C27" s="226">
        <v>38</v>
      </c>
      <c r="D27" s="262">
        <f>IF(C27=0,"-",SUM(D23:D26))</f>
        <v>1</v>
      </c>
      <c r="E27" s="3"/>
      <c r="F27" s="3"/>
      <c r="G27" s="3"/>
    </row>
    <row r="28" spans="1:7" ht="15" customHeight="1" x14ac:dyDescent="0.2">
      <c r="A28" s="3"/>
      <c r="B28" s="3"/>
      <c r="C28" s="3"/>
      <c r="D28" s="3"/>
      <c r="E28" s="3"/>
      <c r="F28" s="3"/>
      <c r="G28" s="3"/>
    </row>
    <row r="29" spans="1:7" ht="15" customHeight="1" x14ac:dyDescent="0.2">
      <c r="A29" s="313" t="s">
        <v>1234</v>
      </c>
      <c r="B29" s="313"/>
      <c r="C29" s="313"/>
      <c r="D29" s="313"/>
      <c r="E29" s="313"/>
      <c r="F29" s="313"/>
      <c r="G29" s="313"/>
    </row>
    <row r="30" spans="1:7" ht="15" customHeight="1" x14ac:dyDescent="0.2">
      <c r="A30" s="155" t="s">
        <v>528</v>
      </c>
      <c r="B30" s="155" t="s">
        <v>1229</v>
      </c>
      <c r="C30" s="155" t="s">
        <v>776</v>
      </c>
      <c r="D30" s="155" t="s">
        <v>1230</v>
      </c>
      <c r="E30" s="3"/>
      <c r="F30" s="3"/>
      <c r="G30" s="3"/>
    </row>
    <row r="31" spans="1:7" ht="26.25" customHeight="1" x14ac:dyDescent="0.2">
      <c r="A31" s="216" t="s">
        <v>192</v>
      </c>
      <c r="B31" s="216" t="s">
        <v>1235</v>
      </c>
      <c r="C31" s="219">
        <v>53</v>
      </c>
      <c r="D31" s="261">
        <f>IF(C35=0,"-",C31/C35)</f>
        <v>1</v>
      </c>
      <c r="E31" s="3"/>
      <c r="F31" s="3"/>
      <c r="G31" s="3"/>
    </row>
    <row r="32" spans="1:7" ht="15" customHeight="1" x14ac:dyDescent="0.2">
      <c r="A32" s="216" t="s">
        <v>1222</v>
      </c>
      <c r="B32" s="216" t="s">
        <v>390</v>
      </c>
      <c r="C32" s="219">
        <v>0</v>
      </c>
      <c r="D32" s="261">
        <f>IF(C35=0,"-",C32/C35)</f>
        <v>0</v>
      </c>
      <c r="E32" s="3"/>
      <c r="F32" s="3"/>
      <c r="G32" s="3"/>
    </row>
    <row r="33" spans="1:7" ht="15" customHeight="1" x14ac:dyDescent="0.2">
      <c r="A33" s="216" t="s">
        <v>1224</v>
      </c>
      <c r="B33" s="216" t="s">
        <v>390</v>
      </c>
      <c r="C33" s="219">
        <v>0</v>
      </c>
      <c r="D33" s="261">
        <f>IF(C35=0,"-",C33/C35)</f>
        <v>0</v>
      </c>
      <c r="E33" s="3"/>
      <c r="F33" s="3"/>
      <c r="G33" s="3"/>
    </row>
    <row r="34" spans="1:7" ht="15" customHeight="1" x14ac:dyDescent="0.2">
      <c r="A34" s="216" t="s">
        <v>1226</v>
      </c>
      <c r="B34" s="216" t="s">
        <v>390</v>
      </c>
      <c r="C34" s="219">
        <v>0</v>
      </c>
      <c r="D34" s="261">
        <f>IF(C35=0,"-",C34/C35)</f>
        <v>0</v>
      </c>
      <c r="E34" s="3"/>
      <c r="F34" s="3"/>
      <c r="G34" s="3"/>
    </row>
    <row r="35" spans="1:7" ht="15" customHeight="1" x14ac:dyDescent="0.2">
      <c r="A35" s="231" t="s">
        <v>24</v>
      </c>
      <c r="B35" s="231" t="s">
        <v>1233</v>
      </c>
      <c r="C35" s="226">
        <v>53</v>
      </c>
      <c r="D35" s="262">
        <f>IF(C35=0,"-",SUM(D31:D34))</f>
        <v>1</v>
      </c>
      <c r="E35" s="3"/>
      <c r="F35" s="3"/>
      <c r="G35" s="3"/>
    </row>
    <row r="36" spans="1:7" ht="15" customHeight="1" x14ac:dyDescent="0.2">
      <c r="A36" s="3"/>
      <c r="B36" s="3"/>
      <c r="C36" s="3"/>
      <c r="D36" s="3"/>
      <c r="E36" s="3"/>
      <c r="F36" s="3"/>
      <c r="G36" s="3"/>
    </row>
    <row r="37" spans="1:7" ht="15" customHeight="1" x14ac:dyDescent="0.2">
      <c r="A37" s="313" t="s">
        <v>1236</v>
      </c>
      <c r="B37" s="313"/>
      <c r="C37" s="313"/>
      <c r="D37" s="313"/>
      <c r="E37" s="313"/>
      <c r="F37" s="313"/>
      <c r="G37" s="313"/>
    </row>
    <row r="38" spans="1:7" ht="15" customHeight="1" x14ac:dyDescent="0.2">
      <c r="A38" s="155" t="s">
        <v>1237</v>
      </c>
      <c r="B38" s="155" t="s">
        <v>1238</v>
      </c>
      <c r="C38" s="155" t="s">
        <v>1239</v>
      </c>
      <c r="D38" s="3"/>
      <c r="E38" s="3"/>
      <c r="F38" s="3"/>
      <c r="G38" s="3"/>
    </row>
    <row r="39" spans="1:7" ht="26.25" customHeight="1" x14ac:dyDescent="0.2">
      <c r="A39" s="216" t="s">
        <v>1240</v>
      </c>
      <c r="B39" s="219">
        <v>2</v>
      </c>
      <c r="C39" s="216" t="s">
        <v>1241</v>
      </c>
      <c r="D39" s="3"/>
      <c r="E39" s="3"/>
      <c r="F39" s="3"/>
      <c r="G39" s="3"/>
    </row>
    <row r="40" spans="1:7" ht="26.25" customHeight="1" x14ac:dyDescent="0.2">
      <c r="A40" s="216" t="s">
        <v>1242</v>
      </c>
      <c r="B40" s="219">
        <v>3</v>
      </c>
      <c r="C40" s="216" t="s">
        <v>1243</v>
      </c>
      <c r="D40" s="3"/>
      <c r="E40" s="3"/>
      <c r="F40" s="3"/>
      <c r="G40" s="3"/>
    </row>
    <row r="41" spans="1:7" ht="26.25" customHeight="1" x14ac:dyDescent="0.2">
      <c r="A41" s="216" t="s">
        <v>1244</v>
      </c>
      <c r="B41" s="219">
        <v>2</v>
      </c>
      <c r="C41" s="216" t="s">
        <v>1245</v>
      </c>
      <c r="D41" s="3"/>
      <c r="E41" s="3"/>
      <c r="F41" s="3"/>
      <c r="G41" s="3"/>
    </row>
    <row r="42" spans="1:7" ht="26.25" customHeight="1" x14ac:dyDescent="0.2">
      <c r="A42" s="231" t="s">
        <v>1246</v>
      </c>
      <c r="B42" s="226">
        <v>5</v>
      </c>
      <c r="C42" s="231" t="s">
        <v>1247</v>
      </c>
      <c r="D42" s="3"/>
      <c r="E42" s="3"/>
      <c r="F42" s="3"/>
      <c r="G42" s="3"/>
    </row>
    <row r="43" spans="1:7" ht="15" customHeight="1" x14ac:dyDescent="0.2">
      <c r="A43" s="3"/>
      <c r="B43" s="3"/>
      <c r="C43" s="3"/>
      <c r="D43" s="3"/>
      <c r="E43" s="3"/>
      <c r="F43" s="3"/>
      <c r="G43" s="3"/>
    </row>
    <row r="44" spans="1:7" ht="15" customHeight="1" x14ac:dyDescent="0.2">
      <c r="A44" s="313" t="s">
        <v>1248</v>
      </c>
      <c r="B44" s="313"/>
      <c r="C44" s="313"/>
      <c r="D44" s="313"/>
      <c r="E44" s="313"/>
      <c r="F44" s="313"/>
      <c r="G44" s="313"/>
    </row>
    <row r="45" spans="1:7" ht="15" customHeight="1" x14ac:dyDescent="0.2">
      <c r="A45" s="155" t="s">
        <v>1169</v>
      </c>
      <c r="B45" s="155" t="s">
        <v>1249</v>
      </c>
      <c r="C45" s="155" t="s">
        <v>1250</v>
      </c>
      <c r="D45" s="155" t="s">
        <v>1251</v>
      </c>
      <c r="E45" s="3"/>
      <c r="F45" s="3"/>
      <c r="G45" s="3"/>
    </row>
    <row r="46" spans="1:7" ht="15" customHeight="1" x14ac:dyDescent="0.2">
      <c r="A46" s="216" t="s">
        <v>1252</v>
      </c>
      <c r="B46" s="219" t="s">
        <v>1253</v>
      </c>
      <c r="C46" s="219" t="s">
        <v>1254</v>
      </c>
      <c r="D46" s="219" t="s">
        <v>1255</v>
      </c>
      <c r="E46" s="3"/>
      <c r="F46" s="3"/>
      <c r="G46" s="3"/>
    </row>
    <row r="47" spans="1:7" ht="15" customHeight="1" x14ac:dyDescent="0.2">
      <c r="A47" s="216" t="s">
        <v>1256</v>
      </c>
      <c r="B47" s="219" t="s">
        <v>1257</v>
      </c>
      <c r="C47" s="219" t="s">
        <v>1258</v>
      </c>
      <c r="D47" s="219" t="s">
        <v>1259</v>
      </c>
      <c r="E47" s="3"/>
      <c r="F47" s="3"/>
      <c r="G47" s="3"/>
    </row>
    <row r="48" spans="1:7" ht="15" customHeight="1" x14ac:dyDescent="0.2">
      <c r="A48" s="216" t="s">
        <v>1260</v>
      </c>
      <c r="B48" s="219" t="s">
        <v>1261</v>
      </c>
      <c r="C48" s="219" t="s">
        <v>1262</v>
      </c>
      <c r="D48" s="219" t="s">
        <v>435</v>
      </c>
      <c r="E48" s="3"/>
      <c r="F48" s="3"/>
      <c r="G48" s="3"/>
    </row>
    <row r="49" spans="1:7" ht="15" customHeight="1" x14ac:dyDescent="0.2">
      <c r="A49" s="216" t="s">
        <v>1263</v>
      </c>
      <c r="B49" s="219" t="s">
        <v>1264</v>
      </c>
      <c r="C49" s="219" t="s">
        <v>1265</v>
      </c>
      <c r="D49" s="219" t="s">
        <v>439</v>
      </c>
      <c r="E49" s="3"/>
      <c r="F49" s="3"/>
      <c r="G49" s="3"/>
    </row>
    <row r="50" spans="1:7" ht="15" customHeight="1" x14ac:dyDescent="0.2">
      <c r="A50" s="231" t="s">
        <v>1266</v>
      </c>
      <c r="B50" s="226" t="s">
        <v>1267</v>
      </c>
      <c r="C50" s="226" t="s">
        <v>1268</v>
      </c>
      <c r="D50" s="226" t="s">
        <v>1253</v>
      </c>
      <c r="E50" s="3"/>
      <c r="F50" s="3"/>
      <c r="G50" s="3"/>
    </row>
    <row r="51" spans="1:7" ht="15" customHeight="1" x14ac:dyDescent="0.2">
      <c r="A51" s="3"/>
      <c r="B51" s="3"/>
      <c r="C51" s="3"/>
      <c r="D51" s="3"/>
      <c r="E51" s="3"/>
      <c r="F51" s="3"/>
      <c r="G51" s="3"/>
    </row>
    <row r="52" spans="1:7" ht="15" customHeight="1" x14ac:dyDescent="0.2">
      <c r="A52" s="313" t="s">
        <v>1269</v>
      </c>
      <c r="B52" s="313"/>
      <c r="C52" s="313"/>
      <c r="D52" s="313"/>
      <c r="E52" s="313"/>
      <c r="F52" s="313"/>
      <c r="G52" s="313"/>
    </row>
    <row r="53" spans="1:7" ht="15" customHeight="1" x14ac:dyDescent="0.2">
      <c r="A53" s="155" t="s">
        <v>1169</v>
      </c>
      <c r="B53" s="155" t="s">
        <v>1249</v>
      </c>
      <c r="C53" s="155" t="s">
        <v>1250</v>
      </c>
      <c r="D53" s="155" t="s">
        <v>1251</v>
      </c>
      <c r="E53" s="3"/>
      <c r="F53" s="3"/>
      <c r="G53" s="3"/>
    </row>
    <row r="54" spans="1:7" ht="15" customHeight="1" x14ac:dyDescent="0.2">
      <c r="A54" s="216" t="s">
        <v>1270</v>
      </c>
      <c r="B54" s="219" t="s">
        <v>423</v>
      </c>
      <c r="C54" s="219" t="s">
        <v>1271</v>
      </c>
      <c r="D54" s="219" t="s">
        <v>1272</v>
      </c>
      <c r="E54" s="3"/>
      <c r="F54" s="3"/>
      <c r="G54" s="3"/>
    </row>
    <row r="55" spans="1:7" ht="15" customHeight="1" x14ac:dyDescent="0.2">
      <c r="A55" s="216" t="s">
        <v>1273</v>
      </c>
      <c r="B55" s="219" t="s">
        <v>1274</v>
      </c>
      <c r="C55" s="219" t="s">
        <v>1275</v>
      </c>
      <c r="D55" s="219" t="s">
        <v>1276</v>
      </c>
      <c r="E55" s="3"/>
      <c r="F55" s="3"/>
      <c r="G55" s="3"/>
    </row>
    <row r="56" spans="1:7" ht="15" customHeight="1" x14ac:dyDescent="0.2">
      <c r="A56" s="216" t="s">
        <v>1277</v>
      </c>
      <c r="B56" s="219" t="s">
        <v>1278</v>
      </c>
      <c r="C56" s="219" t="s">
        <v>1279</v>
      </c>
      <c r="D56" s="219" t="s">
        <v>450</v>
      </c>
      <c r="E56" s="3"/>
      <c r="F56" s="3"/>
      <c r="G56" s="3"/>
    </row>
    <row r="57" spans="1:7" ht="15" customHeight="1" x14ac:dyDescent="0.2">
      <c r="A57" s="216" t="s">
        <v>1280</v>
      </c>
      <c r="B57" s="219" t="s">
        <v>1281</v>
      </c>
      <c r="C57" s="219" t="s">
        <v>1282</v>
      </c>
      <c r="D57" s="219" t="s">
        <v>488</v>
      </c>
      <c r="E57" s="3"/>
      <c r="F57" s="3"/>
      <c r="G57" s="3"/>
    </row>
    <row r="58" spans="1:7" ht="15" customHeight="1" x14ac:dyDescent="0.2">
      <c r="A58" s="231" t="s">
        <v>1266</v>
      </c>
      <c r="B58" s="226" t="s">
        <v>1283</v>
      </c>
      <c r="C58" s="226" t="s">
        <v>1253</v>
      </c>
      <c r="D58" s="226" t="s">
        <v>1271</v>
      </c>
      <c r="E58" s="3"/>
      <c r="F58" s="3"/>
      <c r="G58" s="3"/>
    </row>
    <row r="59" spans="1:7" ht="15" customHeight="1" x14ac:dyDescent="0.2">
      <c r="A59" s="3"/>
      <c r="B59" s="3"/>
      <c r="C59" s="3"/>
      <c r="D59" s="3"/>
      <c r="E59" s="3"/>
      <c r="F59" s="3"/>
      <c r="G59" s="3"/>
    </row>
    <row r="60" spans="1:7" ht="15" customHeight="1" x14ac:dyDescent="0.2">
      <c r="A60" s="313" t="s">
        <v>1284</v>
      </c>
      <c r="B60" s="313"/>
      <c r="C60" s="313"/>
      <c r="D60" s="313"/>
      <c r="E60" s="313"/>
      <c r="F60" s="313"/>
      <c r="G60" s="313"/>
    </row>
    <row r="61" spans="1:7" ht="15" customHeight="1" x14ac:dyDescent="0.2">
      <c r="A61" s="228" t="s">
        <v>1085</v>
      </c>
      <c r="B61" s="3"/>
      <c r="C61" s="3"/>
      <c r="D61" s="3"/>
      <c r="E61" s="3"/>
      <c r="F61" s="3"/>
      <c r="G61" s="3"/>
    </row>
    <row r="62" spans="1:7" ht="15" customHeight="1" x14ac:dyDescent="0.2">
      <c r="A62" s="155" t="s">
        <v>976</v>
      </c>
      <c r="B62" s="155" t="s">
        <v>250</v>
      </c>
      <c r="C62" s="155" t="s">
        <v>244</v>
      </c>
      <c r="D62" s="155" t="s">
        <v>1285</v>
      </c>
      <c r="E62" s="3"/>
      <c r="F62" s="3"/>
      <c r="G62" s="3"/>
    </row>
    <row r="63" spans="1:7" ht="15" customHeight="1" x14ac:dyDescent="0.2">
      <c r="A63" s="163" t="s">
        <v>1286</v>
      </c>
      <c r="B63" s="152"/>
      <c r="C63" s="152"/>
      <c r="D63" s="152"/>
      <c r="E63" s="3"/>
      <c r="F63" s="3"/>
      <c r="G63" s="3"/>
    </row>
    <row r="64" spans="1:7" ht="15" customHeight="1" x14ac:dyDescent="0.2">
      <c r="A64" s="163" t="s">
        <v>1287</v>
      </c>
      <c r="B64" s="152"/>
      <c r="C64" s="152"/>
      <c r="D64" s="152"/>
      <c r="E64" s="3"/>
      <c r="F64" s="3"/>
      <c r="G64" s="3"/>
    </row>
    <row r="65" spans="1:7" ht="15" customHeight="1" x14ac:dyDescent="0.2">
      <c r="A65" s="163" t="s">
        <v>1288</v>
      </c>
      <c r="B65" s="152"/>
      <c r="C65" s="152"/>
      <c r="D65" s="152"/>
      <c r="E65" s="3"/>
      <c r="F65" s="3"/>
      <c r="G65" s="3"/>
    </row>
    <row r="66" spans="1:7" ht="15" customHeight="1" x14ac:dyDescent="0.2">
      <c r="A66" s="163" t="s">
        <v>1289</v>
      </c>
      <c r="B66" s="152"/>
      <c r="C66" s="152"/>
      <c r="D66" s="152"/>
      <c r="E66" s="3"/>
      <c r="F66" s="3"/>
      <c r="G66" s="3"/>
    </row>
    <row r="67" spans="1:7" ht="15" customHeight="1" x14ac:dyDescent="0.2">
      <c r="A67" s="228" t="s">
        <v>1087</v>
      </c>
      <c r="B67" s="3"/>
      <c r="C67" s="3"/>
      <c r="D67" s="3"/>
      <c r="E67" s="3"/>
      <c r="F67" s="3"/>
      <c r="G67" s="3"/>
    </row>
    <row r="68" spans="1:7" ht="15" customHeight="1" x14ac:dyDescent="0.2">
      <c r="A68" s="155" t="s">
        <v>976</v>
      </c>
      <c r="B68" s="155" t="s">
        <v>250</v>
      </c>
      <c r="C68" s="155" t="s">
        <v>244</v>
      </c>
      <c r="D68" s="155" t="s">
        <v>1285</v>
      </c>
      <c r="E68" s="3"/>
      <c r="F68" s="3"/>
      <c r="G68" s="3"/>
    </row>
    <row r="69" spans="1:7" ht="15" customHeight="1" x14ac:dyDescent="0.2">
      <c r="A69" s="163" t="s">
        <v>1286</v>
      </c>
      <c r="B69" s="152"/>
      <c r="C69" s="152"/>
      <c r="D69" s="152"/>
      <c r="E69" s="3"/>
      <c r="F69" s="3"/>
      <c r="G69" s="3"/>
    </row>
    <row r="70" spans="1:7" ht="15" customHeight="1" x14ac:dyDescent="0.2">
      <c r="A70" s="163" t="s">
        <v>1287</v>
      </c>
      <c r="B70" s="152"/>
      <c r="C70" s="152"/>
      <c r="D70" s="152"/>
      <c r="E70" s="3"/>
      <c r="F70" s="3"/>
      <c r="G70" s="3"/>
    </row>
    <row r="71" spans="1:7" ht="15" customHeight="1" x14ac:dyDescent="0.2">
      <c r="A71" s="163" t="s">
        <v>1288</v>
      </c>
      <c r="B71" s="152"/>
      <c r="C71" s="152"/>
      <c r="D71" s="152"/>
      <c r="E71" s="3"/>
      <c r="F71" s="3"/>
      <c r="G71" s="3"/>
    </row>
    <row r="72" spans="1:7" ht="15" customHeight="1" x14ac:dyDescent="0.2">
      <c r="A72" s="163" t="s">
        <v>1289</v>
      </c>
      <c r="B72" s="152"/>
      <c r="C72" s="152"/>
      <c r="D72" s="152"/>
      <c r="E72" s="3"/>
      <c r="F72" s="3"/>
      <c r="G72" s="3"/>
    </row>
    <row r="73" spans="1:7" ht="15" customHeight="1" x14ac:dyDescent="0.2">
      <c r="A73" s="228" t="s">
        <v>1089</v>
      </c>
      <c r="B73" s="3"/>
      <c r="C73" s="3"/>
      <c r="D73" s="3"/>
      <c r="E73" s="3"/>
      <c r="F73" s="3"/>
      <c r="G73" s="3"/>
    </row>
    <row r="74" spans="1:7" ht="15" customHeight="1" x14ac:dyDescent="0.2">
      <c r="A74" s="155" t="s">
        <v>976</v>
      </c>
      <c r="B74" s="155" t="s">
        <v>250</v>
      </c>
      <c r="C74" s="155" t="s">
        <v>244</v>
      </c>
      <c r="D74" s="155" t="s">
        <v>1285</v>
      </c>
      <c r="E74" s="3"/>
      <c r="F74" s="3"/>
      <c r="G74" s="3"/>
    </row>
    <row r="75" spans="1:7" ht="15" customHeight="1" x14ac:dyDescent="0.2">
      <c r="A75" s="163" t="s">
        <v>1286</v>
      </c>
      <c r="B75" s="152"/>
      <c r="C75" s="152"/>
      <c r="D75" s="152"/>
      <c r="E75" s="3"/>
      <c r="F75" s="3"/>
      <c r="G75" s="3"/>
    </row>
    <row r="76" spans="1:7" ht="15" customHeight="1" x14ac:dyDescent="0.2">
      <c r="A76" s="163" t="s">
        <v>1287</v>
      </c>
      <c r="B76" s="152"/>
      <c r="C76" s="152"/>
      <c r="D76" s="152"/>
      <c r="E76" s="3"/>
      <c r="F76" s="3"/>
      <c r="G76" s="3"/>
    </row>
    <row r="77" spans="1:7" ht="15" customHeight="1" x14ac:dyDescent="0.2">
      <c r="A77" s="163" t="s">
        <v>1288</v>
      </c>
      <c r="B77" s="152"/>
      <c r="C77" s="152"/>
      <c r="D77" s="152"/>
      <c r="E77" s="3"/>
      <c r="F77" s="3"/>
      <c r="G77" s="3"/>
    </row>
    <row r="78" spans="1:7" ht="15" customHeight="1" x14ac:dyDescent="0.2">
      <c r="A78" s="163" t="s">
        <v>1289</v>
      </c>
      <c r="B78" s="152"/>
      <c r="C78" s="152"/>
      <c r="D78" s="152"/>
      <c r="E78" s="3"/>
      <c r="F78" s="3"/>
      <c r="G78" s="3"/>
    </row>
  </sheetData>
  <mergeCells count="9">
    <mergeCell ref="A37:G37"/>
    <mergeCell ref="A44:G44"/>
    <mergeCell ref="A52:G52"/>
    <mergeCell ref="A60:G60"/>
    <mergeCell ref="A1:G1"/>
    <mergeCell ref="A4:G4"/>
    <mergeCell ref="A13:G13"/>
    <mergeCell ref="A21:G21"/>
    <mergeCell ref="A29:G29"/>
  </mergeCells>
  <hyperlinks>
    <hyperlink ref="A2" location="Dashboard!A1" display="← Dashboard" xr:uid="{00000000-0004-0000-0C00-000000000000}"/>
  </hyperlinks>
  <pageMargins left="0.75" right="0.75" top="1" bottom="1" header="0.511811023622047" footer="0.511811023622047"/>
  <pageSetup paperSize="9" orientation="portrait" horizontalDpi="300" verticalDpi="300"/>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1"/>
  <sheetViews>
    <sheetView zoomScaleNormal="100" workbookViewId="0"/>
  </sheetViews>
  <sheetFormatPr baseColWidth="10" defaultColWidth="10.6640625" defaultRowHeight="15" customHeight="1" x14ac:dyDescent="0.2"/>
  <sheetData>
    <row r="1" spans="1:11" ht="15" customHeight="1" x14ac:dyDescent="0.2">
      <c r="A1" t="s">
        <v>367</v>
      </c>
      <c r="B1" t="s">
        <v>2</v>
      </c>
      <c r="J1" t="s">
        <v>2084</v>
      </c>
      <c r="K1" t="s">
        <v>250</v>
      </c>
    </row>
    <row r="2" spans="1:11" ht="15" customHeight="1" x14ac:dyDescent="0.2">
      <c r="A2" t="s">
        <v>15</v>
      </c>
      <c r="B2">
        <f>COUNTIF('Epics &amp; LBC'!G:G,"En cours")</f>
        <v>2</v>
      </c>
      <c r="J2" t="s">
        <v>1477</v>
      </c>
      <c r="K2" t="s">
        <v>244</v>
      </c>
    </row>
    <row r="3" spans="1:11" ht="15" customHeight="1" x14ac:dyDescent="0.2">
      <c r="A3" t="s">
        <v>16</v>
      </c>
      <c r="B3">
        <f>COUNTIF('Epics &amp; LBC'!G:G,"Terminé")</f>
        <v>3</v>
      </c>
      <c r="J3" t="s">
        <v>1984</v>
      </c>
      <c r="K3" t="s">
        <v>536</v>
      </c>
    </row>
    <row r="4" spans="1:11" ht="15" customHeight="1" x14ac:dyDescent="0.2">
      <c r="A4" t="s">
        <v>19</v>
      </c>
      <c r="B4">
        <f>COUNTIF('Epics &amp; LBC'!G:G,"Backlog")</f>
        <v>16</v>
      </c>
      <c r="J4" t="s">
        <v>1300</v>
      </c>
      <c r="K4" t="s">
        <v>262</v>
      </c>
    </row>
    <row r="5" spans="1:11" ht="15" customHeight="1" x14ac:dyDescent="0.2">
      <c r="J5" t="s">
        <v>2194</v>
      </c>
      <c r="K5" t="s">
        <v>597</v>
      </c>
    </row>
    <row r="6" spans="1:11" ht="15" customHeight="1" x14ac:dyDescent="0.2">
      <c r="A6" t="s">
        <v>27</v>
      </c>
      <c r="B6" t="s">
        <v>2434</v>
      </c>
      <c r="J6" t="s">
        <v>1400</v>
      </c>
    </row>
    <row r="7" spans="1:11" ht="15" customHeight="1" x14ac:dyDescent="0.2">
      <c r="A7" t="s">
        <v>32</v>
      </c>
      <c r="B7">
        <f>SUMIF('Features &amp; US'!I:I,"PI-1*",'Features &amp; US'!E:E)</f>
        <v>134</v>
      </c>
      <c r="J7" t="s">
        <v>1902</v>
      </c>
    </row>
    <row r="8" spans="1:11" ht="15" customHeight="1" x14ac:dyDescent="0.2">
      <c r="A8" t="s">
        <v>36</v>
      </c>
      <c r="B8">
        <f>SUMIF('Features &amp; US'!I:I,"PI-2*",'Features &amp; US'!E:E)</f>
        <v>61</v>
      </c>
      <c r="J8" t="s">
        <v>2227</v>
      </c>
    </row>
    <row r="9" spans="1:11" ht="15" customHeight="1" x14ac:dyDescent="0.2">
      <c r="A9" t="s">
        <v>40</v>
      </c>
      <c r="B9">
        <f>SUMIF('Features &amp; US'!I:I,"PI-3*",'Features &amp; US'!E:E)</f>
        <v>51</v>
      </c>
      <c r="J9" t="s">
        <v>1968</v>
      </c>
    </row>
    <row r="10" spans="1:11" ht="15" customHeight="1" x14ac:dyDescent="0.2">
      <c r="J10" t="s">
        <v>1930</v>
      </c>
    </row>
    <row r="11" spans="1:11" ht="15" customHeight="1" x14ac:dyDescent="0.2">
      <c r="A11" t="s">
        <v>45</v>
      </c>
      <c r="B11" t="s">
        <v>52</v>
      </c>
      <c r="J11" t="s">
        <v>1943</v>
      </c>
    </row>
    <row r="12" spans="1:11" ht="15" customHeight="1" x14ac:dyDescent="0.2">
      <c r="A12" t="s">
        <v>46</v>
      </c>
      <c r="B12">
        <f>'Sprint Tracker'!D4</f>
        <v>0</v>
      </c>
      <c r="J12" t="s">
        <v>1846</v>
      </c>
    </row>
    <row r="13" spans="1:11" ht="15" customHeight="1" x14ac:dyDescent="0.2">
      <c r="A13" t="s">
        <v>47</v>
      </c>
      <c r="B13" t="str">
        <f>'Sprint Tracker'!D5</f>
        <v>SP Réalisés</v>
      </c>
    </row>
    <row r="14" spans="1:11" ht="15" customHeight="1" x14ac:dyDescent="0.2">
      <c r="A14" t="s">
        <v>48</v>
      </c>
      <c r="B14">
        <f>'Sprint Tracker'!D6</f>
        <v>38</v>
      </c>
    </row>
    <row r="15" spans="1:11" ht="15" customHeight="1" x14ac:dyDescent="0.2">
      <c r="A15" t="s">
        <v>2435</v>
      </c>
      <c r="B15">
        <f>'Sprint Tracker'!D7</f>
        <v>23</v>
      </c>
    </row>
    <row r="17" spans="1:2" ht="15" customHeight="1" x14ac:dyDescent="0.2">
      <c r="A17" t="s">
        <v>1294</v>
      </c>
      <c r="B17" t="s">
        <v>2436</v>
      </c>
    </row>
    <row r="18" spans="1:2" ht="15" customHeight="1" x14ac:dyDescent="0.2">
      <c r="A18" t="s">
        <v>18</v>
      </c>
      <c r="B18">
        <v>40</v>
      </c>
    </row>
    <row r="19" spans="1:2" ht="15" customHeight="1" x14ac:dyDescent="0.2">
      <c r="A19" t="s">
        <v>21</v>
      </c>
      <c r="B19">
        <v>25</v>
      </c>
    </row>
    <row r="20" spans="1:2" ht="15" customHeight="1" x14ac:dyDescent="0.2">
      <c r="A20" t="s">
        <v>23</v>
      </c>
      <c r="B20">
        <v>20</v>
      </c>
    </row>
    <row r="21" spans="1:2" ht="15" customHeight="1" x14ac:dyDescent="0.2">
      <c r="A21" t="s">
        <v>25</v>
      </c>
      <c r="B21">
        <v>15</v>
      </c>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31"/>
  <sheetViews>
    <sheetView zoomScaleNormal="100" workbookViewId="0">
      <selection sqref="A1:D1"/>
    </sheetView>
  </sheetViews>
  <sheetFormatPr baseColWidth="10" defaultColWidth="8.6640625" defaultRowHeight="15" customHeight="1" x14ac:dyDescent="0.2"/>
  <cols>
    <col min="1" max="1" width="25" customWidth="1"/>
    <col min="2" max="2" width="45" customWidth="1"/>
    <col min="3" max="3" width="12" customWidth="1"/>
    <col min="4" max="4" width="30" customWidth="1"/>
  </cols>
  <sheetData>
    <row r="1" spans="1:4" ht="17.25" customHeight="1" x14ac:dyDescent="0.2">
      <c r="A1" s="318" t="s">
        <v>2437</v>
      </c>
      <c r="B1" s="318"/>
      <c r="C1" s="318"/>
      <c r="D1" s="318"/>
    </row>
    <row r="3" spans="1:4" ht="15" customHeight="1" x14ac:dyDescent="0.2">
      <c r="A3" s="259" t="s">
        <v>2438</v>
      </c>
      <c r="B3" s="259" t="s">
        <v>977</v>
      </c>
      <c r="C3" s="259"/>
      <c r="D3" s="259"/>
    </row>
    <row r="4" spans="1:4" ht="15" customHeight="1" x14ac:dyDescent="0.2">
      <c r="A4" s="260" t="s">
        <v>2439</v>
      </c>
      <c r="B4" s="260" t="s">
        <v>2440</v>
      </c>
      <c r="C4" s="260"/>
      <c r="D4" s="260"/>
    </row>
    <row r="5" spans="1:4" ht="15" customHeight="1" x14ac:dyDescent="0.2">
      <c r="A5" s="260" t="s">
        <v>2441</v>
      </c>
      <c r="B5" s="260" t="s">
        <v>2442</v>
      </c>
      <c r="C5" s="260"/>
      <c r="D5" s="260"/>
    </row>
    <row r="6" spans="1:4" ht="15" customHeight="1" x14ac:dyDescent="0.2">
      <c r="A6" s="260" t="s">
        <v>2443</v>
      </c>
      <c r="B6" s="260" t="s">
        <v>2444</v>
      </c>
      <c r="C6" s="260"/>
      <c r="D6" s="260"/>
    </row>
    <row r="7" spans="1:4" ht="15" customHeight="1" x14ac:dyDescent="0.2">
      <c r="A7" s="260" t="s">
        <v>2445</v>
      </c>
      <c r="B7" s="260" t="s">
        <v>2446</v>
      </c>
      <c r="C7" s="260"/>
      <c r="D7" s="260"/>
    </row>
    <row r="8" spans="1:4" ht="15" customHeight="1" x14ac:dyDescent="0.2">
      <c r="A8" s="260" t="s">
        <v>2447</v>
      </c>
      <c r="B8" s="260" t="s">
        <v>2448</v>
      </c>
      <c r="C8" s="260"/>
      <c r="D8" s="260"/>
    </row>
    <row r="9" spans="1:4" ht="15" customHeight="1" x14ac:dyDescent="0.2">
      <c r="A9" s="260" t="s">
        <v>2449</v>
      </c>
      <c r="B9" s="260" t="s">
        <v>2450</v>
      </c>
      <c r="C9" s="260"/>
      <c r="D9" s="260"/>
    </row>
    <row r="10" spans="1:4" ht="15" customHeight="1" x14ac:dyDescent="0.2">
      <c r="A10" s="260" t="s">
        <v>239</v>
      </c>
      <c r="B10" s="260" t="s">
        <v>2451</v>
      </c>
      <c r="C10" s="260"/>
      <c r="D10" s="260"/>
    </row>
    <row r="11" spans="1:4" ht="15" customHeight="1" x14ac:dyDescent="0.2">
      <c r="A11" s="260" t="s">
        <v>95</v>
      </c>
      <c r="B11" s="260" t="s">
        <v>2452</v>
      </c>
      <c r="C11" s="260"/>
      <c r="D11" s="260"/>
    </row>
    <row r="12" spans="1:4" ht="15" customHeight="1" x14ac:dyDescent="0.2">
      <c r="A12" s="260" t="s">
        <v>2453</v>
      </c>
      <c r="B12" s="260" t="s">
        <v>2454</v>
      </c>
      <c r="C12" s="260"/>
      <c r="D12" s="260"/>
    </row>
    <row r="13" spans="1:4" ht="15" customHeight="1" x14ac:dyDescent="0.2">
      <c r="A13" s="260" t="s">
        <v>2455</v>
      </c>
      <c r="B13" s="260" t="s">
        <v>2456</v>
      </c>
      <c r="C13" s="260"/>
      <c r="D13" s="260"/>
    </row>
    <row r="14" spans="1:4" ht="15" customHeight="1" x14ac:dyDescent="0.2">
      <c r="A14" s="260" t="s">
        <v>2457</v>
      </c>
      <c r="B14" s="260" t="s">
        <v>2458</v>
      </c>
      <c r="C14" s="260"/>
      <c r="D14" s="260"/>
    </row>
    <row r="15" spans="1:4" ht="15" customHeight="1" x14ac:dyDescent="0.2">
      <c r="A15" s="260" t="s">
        <v>1292</v>
      </c>
      <c r="B15" s="260" t="s">
        <v>2459</v>
      </c>
      <c r="C15" s="260"/>
      <c r="D15" s="260"/>
    </row>
    <row r="17" spans="1:4" ht="15" customHeight="1" x14ac:dyDescent="0.2">
      <c r="A17" s="259" t="s">
        <v>2460</v>
      </c>
      <c r="B17" s="259" t="s">
        <v>237</v>
      </c>
      <c r="C17" s="259" t="s">
        <v>2461</v>
      </c>
      <c r="D17" s="259" t="s">
        <v>2462</v>
      </c>
    </row>
    <row r="18" spans="1:4" ht="15" customHeight="1" x14ac:dyDescent="0.2">
      <c r="A18" s="260" t="s">
        <v>86</v>
      </c>
      <c r="B18" s="260" t="s">
        <v>2463</v>
      </c>
      <c r="C18" s="260"/>
      <c r="D18" s="260" t="s">
        <v>2464</v>
      </c>
    </row>
    <row r="19" spans="1:4" ht="15" customHeight="1" x14ac:dyDescent="0.2">
      <c r="A19" s="260" t="s">
        <v>89</v>
      </c>
      <c r="B19" s="260" t="s">
        <v>2465</v>
      </c>
      <c r="C19" s="260"/>
      <c r="D19" s="260" t="s">
        <v>2466</v>
      </c>
    </row>
    <row r="20" spans="1:4" ht="15" customHeight="1" x14ac:dyDescent="0.2">
      <c r="A20" s="260" t="s">
        <v>92</v>
      </c>
      <c r="B20" s="260" t="s">
        <v>2467</v>
      </c>
      <c r="C20" s="260"/>
      <c r="D20" s="260" t="s">
        <v>2468</v>
      </c>
    </row>
    <row r="21" spans="1:4" ht="15" customHeight="1" x14ac:dyDescent="0.2">
      <c r="A21" s="260" t="s">
        <v>95</v>
      </c>
      <c r="B21" s="260" t="s">
        <v>2469</v>
      </c>
      <c r="C21" s="260"/>
      <c r="D21" s="260" t="s">
        <v>2470</v>
      </c>
    </row>
    <row r="22" spans="1:4" ht="15" customHeight="1" x14ac:dyDescent="0.2">
      <c r="A22" s="260" t="s">
        <v>98</v>
      </c>
      <c r="B22" s="260" t="s">
        <v>2471</v>
      </c>
      <c r="C22" s="260" t="s">
        <v>2472</v>
      </c>
      <c r="D22" s="260" t="s">
        <v>2473</v>
      </c>
    </row>
    <row r="23" spans="1:4" ht="15" customHeight="1" x14ac:dyDescent="0.2">
      <c r="A23" s="260" t="s">
        <v>101</v>
      </c>
      <c r="B23" s="260" t="s">
        <v>2474</v>
      </c>
      <c r="C23" s="260" t="s">
        <v>2472</v>
      </c>
      <c r="D23" s="260" t="s">
        <v>2475</v>
      </c>
    </row>
    <row r="24" spans="1:4" ht="15" customHeight="1" x14ac:dyDescent="0.2">
      <c r="A24" s="260" t="s">
        <v>104</v>
      </c>
      <c r="B24" s="260" t="s">
        <v>2476</v>
      </c>
      <c r="C24" s="260" t="s">
        <v>2477</v>
      </c>
      <c r="D24" s="260" t="s">
        <v>2478</v>
      </c>
    </row>
    <row r="25" spans="1:4" ht="15" customHeight="1" x14ac:dyDescent="0.2">
      <c r="A25" s="260" t="s">
        <v>107</v>
      </c>
      <c r="B25" s="260" t="s">
        <v>2479</v>
      </c>
      <c r="C25" s="260"/>
      <c r="D25" s="260" t="s">
        <v>2480</v>
      </c>
    </row>
    <row r="26" spans="1:4" ht="15" customHeight="1" x14ac:dyDescent="0.2">
      <c r="A26" s="260" t="s">
        <v>110</v>
      </c>
      <c r="B26" s="260" t="s">
        <v>2481</v>
      </c>
      <c r="C26" s="260"/>
      <c r="D26" s="260" t="s">
        <v>2482</v>
      </c>
    </row>
    <row r="27" spans="1:4" ht="15" customHeight="1" x14ac:dyDescent="0.2">
      <c r="A27" s="260" t="s">
        <v>113</v>
      </c>
      <c r="B27" s="260" t="s">
        <v>2483</v>
      </c>
      <c r="C27" s="260" t="s">
        <v>1116</v>
      </c>
      <c r="D27" s="260" t="s">
        <v>2484</v>
      </c>
    </row>
    <row r="28" spans="1:4" ht="15" customHeight="1" x14ac:dyDescent="0.2">
      <c r="A28" s="260" t="s">
        <v>116</v>
      </c>
      <c r="B28" s="260" t="s">
        <v>2485</v>
      </c>
      <c r="C28" s="260"/>
      <c r="D28" s="260" t="s">
        <v>2486</v>
      </c>
    </row>
    <row r="29" spans="1:4" ht="15" customHeight="1" x14ac:dyDescent="0.2">
      <c r="A29" s="260" t="s">
        <v>119</v>
      </c>
      <c r="B29" s="260" t="s">
        <v>2487</v>
      </c>
      <c r="C29" s="260"/>
      <c r="D29" s="260" t="s">
        <v>2488</v>
      </c>
    </row>
    <row r="30" spans="1:4" ht="15" customHeight="1" x14ac:dyDescent="0.2">
      <c r="A30" s="260" t="s">
        <v>122</v>
      </c>
      <c r="B30" s="260" t="s">
        <v>2489</v>
      </c>
      <c r="C30" s="260" t="s">
        <v>2490</v>
      </c>
      <c r="D30" s="260" t="s">
        <v>2491</v>
      </c>
    </row>
    <row r="31" spans="1:4" ht="15" customHeight="1" x14ac:dyDescent="0.2">
      <c r="A31" s="260" t="s">
        <v>4</v>
      </c>
      <c r="B31" s="260" t="s">
        <v>2492</v>
      </c>
      <c r="C31" s="260" t="s">
        <v>2493</v>
      </c>
      <c r="D31" s="260" t="s">
        <v>2494</v>
      </c>
    </row>
  </sheetData>
  <mergeCells count="1">
    <mergeCell ref="A1:D1"/>
  </mergeCells>
  <hyperlinks>
    <hyperlink ref="A1" location="Dashboard!A1" display="_Metadata — Portfolio SAFe NEOPRO" xr:uid="{00000000-0004-0000-1000-000000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17</vt:i4>
      </vt:variant>
    </vt:vector>
  </HeadingPairs>
  <TitlesOfParts>
    <vt:vector size="17" baseType="lpstr">
      <vt:lpstr>Dashboard</vt:lpstr>
      <vt:lpstr>Guide</vt:lpstr>
      <vt:lpstr>Glossaire</vt:lpstr>
      <vt:lpstr>Vision &amp; OKR</vt:lpstr>
      <vt:lpstr>Value Streams</vt:lpstr>
      <vt:lpstr>Epics &amp; LBC</vt:lpstr>
      <vt:lpstr>Lean Business Cases</vt:lpstr>
      <vt:lpstr>Features &amp; US</vt:lpstr>
      <vt:lpstr>User Stories</vt:lpstr>
      <vt:lpstr>Implemented Backlog</vt:lpstr>
      <vt:lpstr>ROAM</vt:lpstr>
      <vt:lpstr>PI Objectives</vt:lpstr>
      <vt:lpstr>Sprint Tracker</vt:lpstr>
      <vt:lpstr>Inspect &amp; Adapt</vt:lpstr>
      <vt:lpstr>Flow Metrics</vt:lpstr>
      <vt:lpstr>_ChartData</vt:lpstr>
      <vt:lpstr>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Gwenvael LE TALLEC</cp:lastModifiedBy>
  <cp:revision>41</cp:revision>
  <dcterms:created xsi:type="dcterms:W3CDTF">2026-02-19T12:41:19Z</dcterms:created>
  <dcterms:modified xsi:type="dcterms:W3CDTF">2026-02-21T14:25:56Z</dcterms:modified>
  <dc:language>en-US</dc:language>
</cp:coreProperties>
</file>